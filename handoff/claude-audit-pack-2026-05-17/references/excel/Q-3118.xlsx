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A7D0D79-2801-467D-BBA8-08259E85A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QUOTE" sheetId="13" r:id="rId1"/>
    <sheet name="QUOTE 1" sheetId="23" r:id="rId2"/>
    <sheet name="QUOTE 2" sheetId="25" r:id="rId3"/>
    <sheet name="QUOTE 3" sheetId="24" r:id="rId4"/>
    <sheet name="Tambah TV" sheetId="26" r:id="rId5"/>
    <sheet name="Modal" sheetId="27" r:id="rId6"/>
    <sheet name="Pindah TV" sheetId="28" r:id="rId7"/>
    <sheet name="Tambah TV (2)" sheetId="29" r:id="rId8"/>
  </sheets>
  <definedNames>
    <definedName name="_xlnm.Print_Area" localSheetId="0">'MAIN QUOTE'!$A$1:$I$33</definedName>
    <definedName name="valuevx">42.314159</definedName>
    <definedName name="vertex42_copyright" hidden="1">"© 2017 Vertex42 LLC"</definedName>
    <definedName name="vertex42_id" hidden="1">"quotation-template.xlsx"</definedName>
    <definedName name="vertex42_title" hidden="1">"Quotation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3" l="1"/>
  <c r="I20" i="13"/>
  <c r="I23" i="13" l="1"/>
  <c r="I25" i="13" s="1"/>
  <c r="I26" i="29" l="1"/>
  <c r="I28" i="29" s="1"/>
  <c r="L24" i="29" s="1"/>
  <c r="N24" i="29" s="1"/>
  <c r="M24" i="29"/>
  <c r="I7" i="29"/>
  <c r="I33" i="28"/>
  <c r="I35" i="28" s="1"/>
  <c r="L26" i="28" s="1"/>
  <c r="M26" i="28"/>
  <c r="E58" i="27"/>
  <c r="N26" i="28" l="1"/>
  <c r="M24" i="26"/>
  <c r="I37" i="26"/>
  <c r="I39" i="26" s="1"/>
  <c r="L24" i="26" s="1"/>
  <c r="I7" i="26"/>
  <c r="N24" i="26" l="1"/>
  <c r="M37" i="24"/>
  <c r="M68" i="25"/>
  <c r="M72" i="23"/>
  <c r="I72" i="25"/>
  <c r="I74" i="25" s="1"/>
  <c r="L68" i="25" s="1"/>
  <c r="L38" i="25"/>
  <c r="I7" i="25"/>
  <c r="I41" i="24"/>
  <c r="I43" i="24" s="1"/>
  <c r="L37" i="24" s="1"/>
  <c r="N37" i="24" s="1"/>
  <c r="K19" i="24"/>
  <c r="I7" i="24"/>
  <c r="I76" i="23"/>
  <c r="I78" i="23" s="1"/>
  <c r="L72" i="23" s="1"/>
  <c r="N47" i="23"/>
  <c r="N43" i="23"/>
  <c r="I7" i="23"/>
  <c r="N68" i="25" l="1"/>
  <c r="N72" i="23"/>
</calcChain>
</file>

<file path=xl/sharedStrings.xml><?xml version="1.0" encoding="utf-8"?>
<sst xmlns="http://schemas.openxmlformats.org/spreadsheetml/2006/main" count="472" uniqueCount="193">
  <si>
    <t>DATE</t>
  </si>
  <si>
    <t>← You can change the currency by editing the cell format</t>
  </si>
  <si>
    <t>Thank you for your business!</t>
  </si>
  <si>
    <t>← Press CTRL+SemiColon to enter the current date</t>
  </si>
  <si>
    <t>← Remember to update this information</t>
  </si>
  <si>
    <t>← Edit this statement as necessary.</t>
  </si>
  <si>
    <t>QUOTATION</t>
  </si>
  <si>
    <t>QUOTE #</t>
  </si>
  <si>
    <t>VALID UNTIL</t>
  </si>
  <si>
    <t>CUSTOMER ID</t>
  </si>
  <si>
    <t>Quote Template</t>
  </si>
  <si>
    <t>© 2017 Vertex42 LLC</t>
  </si>
  <si>
    <t>TOTAL QUOTE</t>
  </si>
  <si>
    <t>SUBTOTAL</t>
  </si>
  <si>
    <t>OTHER</t>
  </si>
  <si>
    <t>← This could be for shipping, tax, etc. Update the label as needed.</t>
  </si>
  <si>
    <t>NAS CERIA SERVICES(003035718-X)</t>
  </si>
  <si>
    <t>14-1,1ST FLOOR,JALAN WANGSA BUDI 1,</t>
  </si>
  <si>
    <t>TAMAN WANGSA MELAWATI.</t>
  </si>
  <si>
    <t>53300 KUALA LUMPUR</t>
  </si>
  <si>
    <t>TEL : 019-3733467</t>
  </si>
  <si>
    <t>EMAIL : Toncet30@gmail.com</t>
  </si>
  <si>
    <t>Masjid Saidina Othman Ibn Affan</t>
  </si>
  <si>
    <t>Jalan Budiman</t>
  </si>
  <si>
    <t>Bandar Tun Razak</t>
  </si>
  <si>
    <t>Kuala Lumpur</t>
  </si>
  <si>
    <t>Wilayah Persekutuan 56000</t>
  </si>
  <si>
    <t>Attn : Ustaz Wan Abdul Halim</t>
  </si>
  <si>
    <t>Prepared By: Hakim</t>
  </si>
  <si>
    <t xml:space="preserve">CUSTOMER </t>
  </si>
  <si>
    <t>Item | Description</t>
  </si>
  <si>
    <t>No</t>
  </si>
  <si>
    <t>Rate (RM)</t>
  </si>
  <si>
    <t>AMOUNT (RM)</t>
  </si>
  <si>
    <t>Qty</t>
  </si>
  <si>
    <t xml:space="preserve">HDMI Extender CAT6 120M 1080p@60Hz Rx </t>
  </si>
  <si>
    <t>Kerja-kerja dan alat bagi 2 TV Display Luar                            ( Pintu Masuk Utama )</t>
  </si>
  <si>
    <t>TP-Link Tapo P100 (Smart Plug) for control plug socket wirelessly</t>
  </si>
  <si>
    <t>LIVE Streaming System</t>
  </si>
  <si>
    <t>Installation, Setup &amp; Configuration</t>
  </si>
  <si>
    <r>
      <t xml:space="preserve"> Supply and install 10m Audio Cable
 run for </t>
    </r>
    <r>
      <rPr>
        <b/>
        <sz val="10"/>
        <rFont val="Arial"/>
        <family val="2"/>
        <scheme val="minor"/>
      </rPr>
      <t>AUDIO Transmission</t>
    </r>
    <r>
      <rPr>
        <sz val="10"/>
        <rFont val="Arial"/>
        <family val="2"/>
        <scheme val="minor"/>
      </rPr>
      <t xml:space="preserve"> from PA System to PC ( XLR to 3.5mm Audio Jack ) complete with Splitter Cable XLR Female to Dual XLR male</t>
    </r>
  </si>
  <si>
    <t>Toshiba V300/S300 2TB Surveillance CCTV Internal Hard Disk 3.5" SATA 6.0Gbit/S 5900 - 7200PRM</t>
  </si>
  <si>
    <t>LAIN-LAIN</t>
  </si>
  <si>
    <t xml:space="preserve">DF90-T LCD TV Large Tilt Bracket for 65" - 90" </t>
  </si>
  <si>
    <t xml:space="preserve">NBSP2 – Heavy Durty Cantilever Mount (40"-70") </t>
  </si>
  <si>
    <t>T3260 32" - 80" Large TV Mount Bracket Holder</t>
  </si>
  <si>
    <t>DISPLAY TV</t>
  </si>
  <si>
    <t xml:space="preserve">SAMSUNG Q60B QLED 4K Smart TV </t>
  </si>
  <si>
    <t>QA55Q60BAKXXM 55" QLED 4K TV</t>
  </si>
  <si>
    <t>QA65Q60BAKXXM 65" QLED 4K TV</t>
  </si>
  <si>
    <r>
      <rPr>
        <b/>
        <sz val="10"/>
        <rFont val="Arial"/>
        <family val="2"/>
        <scheme val="minor"/>
      </rPr>
      <t>Graphic Design on software</t>
    </r>
    <r>
      <rPr>
        <sz val="10"/>
        <rFont val="Arial"/>
        <family val="2"/>
        <scheme val="minor"/>
      </rPr>
      <t xml:space="preserve"> for Live Streaming Kuliah and Khutbah Jumaat </t>
    </r>
  </si>
  <si>
    <t>DAHUA 4MP SD5A445XA-HNR 45X STARLIGHT IR WIZSENSE NETWORK PTZ CAMERA (AI) (STARLIGHT)</t>
  </si>
  <si>
    <t>Mount Bracket for PTZ Camera</t>
  </si>
  <si>
    <t>DAHUA NVR4204-P-4KS2/L Network 4CH 8MP 4K PoE NVR</t>
  </si>
  <si>
    <t>Kerja-kerja dan alat bagi 2 Display TV Luar Ruang Solat Utama ( Kiri &amp; Kanan )</t>
  </si>
  <si>
    <t>Kerja-kerja dan alat bagi kerja-kerja Networking dan Cabling ( Dalam Bilik Imam )</t>
  </si>
  <si>
    <t>TP-LINK TL-SG1016D 16 Port Gigabit Switch</t>
  </si>
  <si>
    <t>Custom Pc with latest Spec ( Intel 12th Gen Processor )     
- Intel i5-12400f 6 Core 12 Threads
- 16GB RAM 3600Mhz DDR4
- PALIT RTX 3060 DUAL 12GB GDDR6 Graphic Card
- 512GB SSD Pci-e M.2
- Samsung 24" LED Monitor 75Hz</t>
  </si>
  <si>
    <t>To supply and install 13A plug point for LED TV and HDMI extender</t>
  </si>
  <si>
    <t>CentRacks 6U Wall Mount Server Rack with 2 tray</t>
  </si>
  <si>
    <t xml:space="preserve">ATEN VS-184A 4 PORT 4K HDMI SPLITTER </t>
  </si>
  <si>
    <t>ATEN VS-481B 4 PORT 4K HDMI SWITCH</t>
  </si>
  <si>
    <t>4K HDMI Splitter 1 Input to 2 Output</t>
  </si>
  <si>
    <t>J5Create JVA02 Live Capture Adapter HDMI™ To USB-C™ With Power Delivery</t>
  </si>
  <si>
    <t>Onten US302/US323 USB3.0 Audio And HDTV Video Capture Card</t>
  </si>
  <si>
    <t>Vention HDMI Cable 2.0 High Speed 18Gbps 4K Bundle</t>
  </si>
  <si>
    <t>5mx3, 1.5mx3, 5mx3</t>
  </si>
  <si>
    <r>
      <t xml:space="preserve">Supply and install HDMI socket and cabling run for
</t>
    </r>
    <r>
      <rPr>
        <b/>
        <sz val="10"/>
        <rFont val="Arial"/>
        <family val="2"/>
        <scheme val="minor"/>
      </rPr>
      <t>Slide Kuliah</t>
    </r>
    <r>
      <rPr>
        <sz val="10"/>
        <rFont val="Arial"/>
        <family val="2"/>
        <scheme val="minor"/>
      </rPr>
      <t xml:space="preserve"> from Minbar to inside Imam's Room</t>
    </r>
  </si>
  <si>
    <t>To supply and install 13A plug point for electronic device</t>
  </si>
  <si>
    <t>Kameha Hdmi to Hdmi Cable V2.0</t>
  </si>
  <si>
    <t>Quotation Validity : 14 days
PAYMENT TERMS : 50% downpayment upon confirmation, balance 50% upon completion of work</t>
  </si>
  <si>
    <t>NAS CERIA SERVICES | Bank Account : 8881039261301 Am Bank | Trade Reg. No : 003035718-X</t>
  </si>
  <si>
    <t>Thank you for your support. We look forward to a mutually beneficial business relationship.</t>
  </si>
  <si>
    <t>If you accept the offer, please fill in below
and fax or e-mail back to us a copy   
_________________________________
I ACCEPT THE ABOVE OFFER AND TERMS
Name
:
Date
:</t>
  </si>
  <si>
    <t>Modal Kasar</t>
  </si>
  <si>
    <t>Terimaan</t>
  </si>
  <si>
    <t>Untung Kasar</t>
  </si>
  <si>
    <t xml:space="preserve">HDMI Extender CAT6 120M 1080p@60Hz Tx </t>
  </si>
  <si>
    <t>Kerja-kerja dan alat bagi 3 TV Display Ruang Solat Bawah ( Dalam dan Luar Pintu Dewan )</t>
  </si>
  <si>
    <t>Dahua IPC-HFW5831EP-ZE 8MP WDR IR Bullet Network Camera</t>
  </si>
  <si>
    <t>Camera Junction Box for Bullet Camera</t>
  </si>
  <si>
    <r>
      <t xml:space="preserve">Supply and install F/UTP CAT6  cabling run for </t>
    </r>
    <r>
      <rPr>
        <b/>
        <sz val="10"/>
        <rFont val="Arial"/>
        <family val="2"/>
        <scheme val="minor"/>
      </rPr>
      <t>PTZ Camera</t>
    </r>
    <r>
      <rPr>
        <sz val="10"/>
        <rFont val="Arial"/>
        <family val="2"/>
        <scheme val="minor"/>
      </rPr>
      <t xml:space="preserve"> in PVC conduit, include shielded RJ45 plug both end cable</t>
    </r>
  </si>
  <si>
    <r>
      <t xml:space="preserve">Supply and install F/UTP CAT6 cabling run for
</t>
    </r>
    <r>
      <rPr>
        <b/>
        <sz val="10"/>
        <rFont val="Arial"/>
        <family val="2"/>
        <scheme val="minor"/>
      </rPr>
      <t>VIDEO transmission</t>
    </r>
    <r>
      <rPr>
        <sz val="10"/>
        <rFont val="Arial"/>
        <family val="2"/>
        <scheme val="minor"/>
      </rPr>
      <t xml:space="preserve"> in PVC conduit, include shielded RJ45 plug both end cable</t>
    </r>
  </si>
  <si>
    <r>
      <t xml:space="preserve">Supply and install CAT6 cabling for </t>
    </r>
    <r>
      <rPr>
        <b/>
        <sz val="10"/>
        <rFont val="Arial"/>
        <family val="2"/>
        <scheme val="minor"/>
      </rPr>
      <t>IP Camera</t>
    </r>
    <r>
      <rPr>
        <sz val="10"/>
        <rFont val="Arial"/>
        <family val="2"/>
        <scheme val="minor"/>
      </rPr>
      <t xml:space="preserve"> from Imam's Room in PVC conduit, include shielded RJ45 plug both end cable</t>
    </r>
  </si>
  <si>
    <r>
      <t xml:space="preserve">Supply and install CAT6 cabling run for
</t>
    </r>
    <r>
      <rPr>
        <b/>
        <sz val="10"/>
        <rFont val="Arial"/>
        <family val="2"/>
        <scheme val="minor"/>
      </rPr>
      <t xml:space="preserve">Connect Media Device </t>
    </r>
    <r>
      <rPr>
        <sz val="10"/>
        <rFont val="Arial"/>
        <family val="2"/>
        <scheme val="minor"/>
      </rPr>
      <t>to Gigabit Switch, include shielded RJ45 plug both end cable</t>
    </r>
  </si>
  <si>
    <t xml:space="preserve"> </t>
  </si>
  <si>
    <r>
      <t xml:space="preserve">Supply and install CAT6 cabling run for
</t>
    </r>
    <r>
      <rPr>
        <b/>
        <sz val="10"/>
        <rFont val="Arial"/>
        <family val="2"/>
        <scheme val="minor"/>
      </rPr>
      <t xml:space="preserve">Internet networking </t>
    </r>
    <r>
      <rPr>
        <sz val="10"/>
        <rFont val="Arial"/>
        <family val="2"/>
        <scheme val="minor"/>
      </rPr>
      <t>from router to switch include shielded RJ45 plug both end cable</t>
    </r>
  </si>
  <si>
    <t>Bundle Cable Organizer Management Tube Sleeve</t>
  </si>
  <si>
    <t>SAMSUNG 65" INCH UHD 4K SMART TV UA65AU7000</t>
  </si>
  <si>
    <t>DAHUA SD8A840-HNF-PA 8MP 40x Starlight IR PTZ AI Network Camera</t>
  </si>
  <si>
    <t>AVA1500-60-1P Mobile TV Stand</t>
  </si>
  <si>
    <t>USB Security Lock Anti-Theft</t>
  </si>
  <si>
    <t xml:space="preserve">Bundle HDMI Cable 2.0 High Speed 18Gbps 4K </t>
  </si>
  <si>
    <t>Kerja-kerja dan alat bagi 1 TV Display Pejabat                           ( Pejabat Bawah )</t>
  </si>
  <si>
    <t xml:space="preserve">Samsung BU8500 55-inch 4K Crystal UHD Smart TV </t>
  </si>
  <si>
    <t>Senarai Barang yang dibeli</t>
  </si>
  <si>
    <t>No.</t>
  </si>
  <si>
    <t>Barang</t>
  </si>
  <si>
    <t>Kuantiti</t>
  </si>
  <si>
    <t>Harga</t>
  </si>
  <si>
    <t>INVOICE</t>
  </si>
  <si>
    <t>Resit</t>
  </si>
  <si>
    <t>CAT 6 FTP BELDEN 305M</t>
  </si>
  <si>
    <t>CAT 6 305M UTP</t>
  </si>
  <si>
    <t>Toshiba V300/S300 4TB Surveillance CCTV Internal Hard Disk</t>
  </si>
  <si>
    <t>TP-Link Tapo P100 (Smart Plug)</t>
  </si>
  <si>
    <t>CAT 6 RJ45 CONNECTOR</t>
  </si>
  <si>
    <t>Splitter Cable XLR Female to Dual XLR male</t>
  </si>
  <si>
    <t>Resit\invoice PTZ Dahua.pdf</t>
  </si>
  <si>
    <t>Resit\tv samsung 11562.jpg</t>
  </si>
  <si>
    <t>Resit\cable cat6 1340.jpg</t>
  </si>
  <si>
    <t>Resit\nvr camera imam 1480.jpg</t>
  </si>
  <si>
    <t>HDMI EXTENDER RX 3pcs and 1 set TX RX</t>
  </si>
  <si>
    <t>Resit\hdmi extender 981.6.pdf</t>
  </si>
  <si>
    <t>ATEN VS-184A 4 PORT 4K HDMI SPLITTER  and ATEN VS-481B 4 PORT 4K HDMI SWITCH</t>
  </si>
  <si>
    <t>Resit\aten switch n aten splitter 730.9.jpg</t>
  </si>
  <si>
    <t>TV Bracket p6 x 4, NBT560-15 2pcs, Stand Portable x 1pcs</t>
  </si>
  <si>
    <t>Resit\TV Bracket 874.65.pdf</t>
  </si>
  <si>
    <t>Resit\hard disk 347.jpg</t>
  </si>
  <si>
    <t>Resit\invoice centrack.pdf</t>
  </si>
  <si>
    <t>Resit\JVA02 video capture 306.9.jpg</t>
  </si>
  <si>
    <t>Resit\LAN Connector 19.jpg</t>
  </si>
  <si>
    <t>Resit\hdmi splitter 60.84.jpg</t>
  </si>
  <si>
    <t>Resit\Onten Video Capture 51.7.pdf</t>
  </si>
  <si>
    <t>Wireless Mouse for NVR and type C adapter</t>
  </si>
  <si>
    <t>Resit\Audio Splitter 54.9.pdf</t>
  </si>
  <si>
    <t>Resit\usb lock 39.7.jpg</t>
  </si>
  <si>
    <t>TAGGING DEVICE AND STICKER</t>
  </si>
  <si>
    <t>Resit\Label printer 83.79.pdf</t>
  </si>
  <si>
    <t>Dellivery Transport</t>
  </si>
  <si>
    <t>Resit\socar 34.64.pdf</t>
  </si>
  <si>
    <t>HDMI Receiver Pejabat</t>
  </si>
  <si>
    <t>Resit\hdmi receiver pejabat 190.9.jpg</t>
  </si>
  <si>
    <t>Stand TV Pejabat</t>
  </si>
  <si>
    <t>Resit\Stand TV pejabat 292.4.jpg</t>
  </si>
  <si>
    <t>Windows 11 shopee</t>
  </si>
  <si>
    <t>Resit\windows 5.pdf</t>
  </si>
  <si>
    <t>RJ45 Crimp Tools</t>
  </si>
  <si>
    <t>Resit\RJ45 Crimp tool 68.9.pdf</t>
  </si>
  <si>
    <t>CAT6 Plug and USB lock</t>
  </si>
  <si>
    <t>Resit\cat6 plug usb lock 90.jpg</t>
  </si>
  <si>
    <t>Keelat Nail Gun</t>
  </si>
  <si>
    <t>Resit\Keelat Nail Gun 253.pdf</t>
  </si>
  <si>
    <t>Resit\mouse type c adapter 39.jpg</t>
  </si>
  <si>
    <t>Keyboard N Mouse</t>
  </si>
  <si>
    <t>Resit\Keyboard n mouse 67.jpg</t>
  </si>
  <si>
    <t>Cable Label Strip</t>
  </si>
  <si>
    <t>Resit\Label cable 31.94.jpg</t>
  </si>
  <si>
    <t xml:space="preserve">Cable tight </t>
  </si>
  <si>
    <t>Resit\eco ( cable tight jarum kertas pasir ) 19.2.jpg</t>
  </si>
  <si>
    <t>Plug, Casing, Plate</t>
  </si>
  <si>
    <t>Resit\plug 10pcs casing plate 55.jpg</t>
  </si>
  <si>
    <t>Resit\plug casing half moon nail cable wrap extension plug 112.jpg</t>
  </si>
  <si>
    <t>Half Moon, Plug, Cable Wrapper, PVS Casing, Extension</t>
  </si>
  <si>
    <t>Cable HDMI</t>
  </si>
  <si>
    <t>Cable HDMI and Cable Audio</t>
  </si>
  <si>
    <t>Resit\cable hdmi 180.jpg</t>
  </si>
  <si>
    <t>Resit\cable hdmi audio 370.jpg</t>
  </si>
  <si>
    <t>Hardware 1</t>
  </si>
  <si>
    <t>Hardware 2</t>
  </si>
  <si>
    <t>Hardware 3</t>
  </si>
  <si>
    <t>Hardware 4</t>
  </si>
  <si>
    <t>Hardware 5</t>
  </si>
  <si>
    <t>PC for Streaming</t>
  </si>
  <si>
    <t>Design</t>
  </si>
  <si>
    <t>Resit\Hardware wiring 1 51.8.jpeg</t>
  </si>
  <si>
    <t>Resit\Hardware wiring 2 5.jpeg</t>
  </si>
  <si>
    <t>Resit\Hardware wiring 3 35.5.jpeg</t>
  </si>
  <si>
    <t>Resit\Hardware wiring 4 105.jpeg</t>
  </si>
  <si>
    <t>Resit\Hardware wiring 5 59.jpeg</t>
  </si>
  <si>
    <t>Resit\design 300.pdf</t>
  </si>
  <si>
    <t>TV Samsung 55Bu8700</t>
  </si>
  <si>
    <t>Resit\Hakim.pdf</t>
  </si>
  <si>
    <t>Plug CAT6, Boots CAT6, Vention DP to HDMI, Vention Splitter</t>
  </si>
  <si>
    <t>Upah Khairil</t>
  </si>
  <si>
    <t>upah abang munir</t>
  </si>
  <si>
    <t>bg masjid</t>
  </si>
  <si>
    <r>
      <t xml:space="preserve">Re-route  F/UTP CAT6 cabling run for VIDEO transmission on </t>
    </r>
    <r>
      <rPr>
        <b/>
        <sz val="10"/>
        <rFont val="Arial"/>
        <family val="2"/>
        <scheme val="minor"/>
      </rPr>
      <t>Dewan Solat Utama</t>
    </r>
  </si>
  <si>
    <r>
      <t>Supply and install double 13A plug point for TV on</t>
    </r>
    <r>
      <rPr>
        <b/>
        <sz val="10"/>
        <rFont val="Arial"/>
        <family val="2"/>
        <scheme val="minor"/>
      </rPr>
      <t xml:space="preserve"> Dewan Solat Utama</t>
    </r>
    <r>
      <rPr>
        <sz val="10"/>
        <rFont val="Arial"/>
        <family val="2"/>
        <scheme val="minor"/>
      </rPr>
      <t>. Loop from nearest point.</t>
    </r>
  </si>
  <si>
    <t>Setup &amp; Configuration</t>
  </si>
  <si>
    <r>
      <t xml:space="preserve">Membuka, mengalih dan memasang TV Mount di </t>
    </r>
    <r>
      <rPr>
        <b/>
        <sz val="10"/>
        <rFont val="Arial"/>
        <family val="2"/>
        <scheme val="minor"/>
      </rPr>
      <t>Dewan Solat Utama</t>
    </r>
  </si>
  <si>
    <t>Kerja-kerja menukar kedudukan 2 unit TV Dewan Solat Utama</t>
  </si>
  <si>
    <t>TOTAL INVOICE</t>
  </si>
  <si>
    <t>Transportation</t>
  </si>
  <si>
    <t xml:space="preserve">Samsung BU8000 50-inch 4K Crystal UHD Smart TV </t>
  </si>
  <si>
    <t>Kerja-kerja penukaran TV Display 1                                                     ( Dewan Solat Bawah )</t>
  </si>
  <si>
    <t>QUOTATION #</t>
  </si>
  <si>
    <t>Prepared By: NAS</t>
  </si>
  <si>
    <t>Caj Pemasangan</t>
  </si>
  <si>
    <r>
      <rPr>
        <b/>
        <sz val="10"/>
        <rFont val="Arial"/>
        <family val="2"/>
        <scheme val="minor"/>
      </rPr>
      <t>Masjid Ibnu Mas'ud</t>
    </r>
    <r>
      <rPr>
        <sz val="10"/>
        <rFont val="Arial"/>
        <family val="2"/>
        <scheme val="minor"/>
      </rPr>
      <t xml:space="preserve">
Lot 804, Jalan Damai, Off, Jln Ampang, 
55000 Kuala Lumpur.</t>
    </r>
  </si>
  <si>
    <r>
      <t xml:space="preserve">Attn : </t>
    </r>
    <r>
      <rPr>
        <b/>
        <sz val="10"/>
        <rFont val="Arial"/>
        <family val="2"/>
        <scheme val="minor"/>
      </rPr>
      <t>Ustaz Arif</t>
    </r>
  </si>
  <si>
    <t>Perkhidmatan Menyediakan 
Papan Carta Organisasi Masjid</t>
  </si>
  <si>
    <t>Acrylic Sheet 8ft x 4ft x 5mm ( 10 hole + bolt nut)
- Sticker
-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</si>
</sst>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RM-4409]* #,##0.00_-;\-[$RM-4409]* #,##0.00_-;_-[$RM-4409]* &quot;-&quot;??_-;_-@_-"/>
  </numFmts>
  <fonts count="44" x14ac:knownFonts="1">
    <font>
      <sz val="11"/>
      <name val="Arial"/>
      <family val="2"/>
    </font>
    <font>
      <sz val="10"/>
      <name val="Verdana"/>
      <family val="2"/>
    </font>
    <font>
      <sz val="16"/>
      <name val="Trebuchet MS"/>
      <family val="2"/>
    </font>
    <font>
      <b/>
      <sz val="28"/>
      <color indexed="52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Tahoma"/>
      <family val="2"/>
    </font>
    <font>
      <sz val="10"/>
      <name val="Arial"/>
      <family val="2"/>
      <scheme val="minor"/>
    </font>
    <font>
      <sz val="9"/>
      <color theme="3"/>
      <name val="Arial"/>
      <family val="2"/>
    </font>
    <font>
      <sz val="16"/>
      <name val="Arial"/>
      <family val="2"/>
      <scheme val="major"/>
    </font>
    <font>
      <i/>
      <sz val="11"/>
      <name val="Arial"/>
      <family val="2"/>
      <scheme val="minor"/>
    </font>
    <font>
      <b/>
      <sz val="9"/>
      <name val="Arial"/>
      <family val="2"/>
      <scheme val="major"/>
    </font>
    <font>
      <sz val="11"/>
      <name val="Arial"/>
      <family val="2"/>
    </font>
    <font>
      <b/>
      <sz val="11"/>
      <name val="Arial"/>
      <family val="2"/>
      <scheme val="minor"/>
    </font>
    <font>
      <b/>
      <sz val="28"/>
      <color theme="4"/>
      <name val="Arial"/>
      <family val="2"/>
      <scheme val="major"/>
    </font>
    <font>
      <u/>
      <sz val="10"/>
      <color indexed="12"/>
      <name val="Arial"/>
      <family val="2"/>
      <scheme val="minor"/>
    </font>
    <font>
      <i/>
      <sz val="11"/>
      <name val="Arial"/>
      <family val="2"/>
    </font>
    <font>
      <b/>
      <sz val="12"/>
      <name val="Arial"/>
      <family val="2"/>
      <scheme val="minor"/>
    </font>
    <font>
      <b/>
      <sz val="10"/>
      <name val="Arial"/>
      <family val="2"/>
      <scheme val="minor"/>
    </font>
    <font>
      <b/>
      <i/>
      <sz val="10"/>
      <name val="Arial"/>
      <family val="2"/>
      <scheme val="minor"/>
    </font>
    <font>
      <i/>
      <sz val="10"/>
      <name val="Arial"/>
      <family val="2"/>
      <scheme val="minor"/>
    </font>
    <font>
      <i/>
      <sz val="9"/>
      <color theme="3"/>
      <name val="Arial"/>
      <family val="2"/>
    </font>
    <font>
      <b/>
      <i/>
      <sz val="10"/>
      <name val="Arial"/>
      <family val="2"/>
      <scheme val="major"/>
    </font>
    <font>
      <sz val="8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15" fillId="11" borderId="1" applyNumberFormat="0" applyAlignment="0" applyProtection="0"/>
    <xf numFmtId="0" fontId="16" fillId="0" borderId="6" applyNumberFormat="0" applyFill="0" applyAlignment="0" applyProtection="0"/>
    <xf numFmtId="0" fontId="17" fillId="5" borderId="0" applyNumberFormat="0" applyBorder="0" applyAlignment="0" applyProtection="0"/>
    <xf numFmtId="0" fontId="18" fillId="5" borderId="7" applyNumberFormat="0" applyFont="0" applyAlignment="0" applyProtection="0"/>
    <xf numFmtId="0" fontId="19" fillId="1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44" fontId="29" fillId="0" borderId="0" applyFont="0" applyFill="0" applyBorder="0" applyAlignment="0" applyProtection="0"/>
  </cellStyleXfs>
  <cellXfs count="200">
    <xf numFmtId="0" fontId="0" fillId="0" borderId="0" xfId="0"/>
    <xf numFmtId="0" fontId="23" fillId="0" borderId="0" xfId="28" applyNumberFormat="1" applyFont="1" applyFill="1" applyAlignment="1">
      <alignment horizontal="left"/>
    </xf>
    <xf numFmtId="0" fontId="24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25" fillId="0" borderId="0" xfId="0" applyFont="1"/>
    <xf numFmtId="0" fontId="2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/>
    <xf numFmtId="43" fontId="24" fillId="0" borderId="18" xfId="0" applyNumberFormat="1" applyFont="1" applyBorder="1" applyAlignment="1" applyProtection="1">
      <alignment vertical="center"/>
      <protection locked="0"/>
    </xf>
    <xf numFmtId="0" fontId="24" fillId="0" borderId="18" xfId="0" applyFont="1" applyBorder="1" applyAlignment="1" applyProtection="1">
      <alignment horizontal="center" vertical="center"/>
      <protection locked="0"/>
    </xf>
    <xf numFmtId="14" fontId="24" fillId="0" borderId="10" xfId="0" applyNumberFormat="1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8" fillId="21" borderId="10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32" fillId="0" borderId="0" xfId="35" applyNumberFormat="1" applyFill="1" applyAlignment="1" applyProtection="1">
      <alignment horizontal="left"/>
    </xf>
    <xf numFmtId="0" fontId="31" fillId="0" borderId="0" xfId="0" applyFont="1" applyAlignment="1">
      <alignment horizontal="right" vertical="center"/>
    </xf>
    <xf numFmtId="14" fontId="24" fillId="0" borderId="10" xfId="0" applyNumberFormat="1" applyFont="1" applyBorder="1" applyAlignment="1">
      <alignment horizontal="center" vertical="center"/>
    </xf>
    <xf numFmtId="0" fontId="24" fillId="0" borderId="0" xfId="0" applyFont="1" applyAlignment="1" applyProtection="1">
      <alignment horizontal="center" vertical="center"/>
      <protection locked="0"/>
    </xf>
    <xf numFmtId="14" fontId="24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24" fillId="0" borderId="0" xfId="0" applyFont="1" applyAlignment="1">
      <alignment horizontal="left"/>
    </xf>
    <xf numFmtId="43" fontId="24" fillId="0" borderId="18" xfId="0" applyNumberFormat="1" applyFont="1" applyBorder="1" applyAlignment="1">
      <alignment vertical="center"/>
    </xf>
    <xf numFmtId="0" fontId="0" fillId="0" borderId="0" xfId="0" applyAlignment="1">
      <alignment vertical="center" shrinkToFit="1"/>
    </xf>
    <xf numFmtId="43" fontId="30" fillId="0" borderId="17" xfId="0" applyNumberFormat="1" applyFont="1" applyBorder="1" applyAlignment="1">
      <alignment vertical="center"/>
    </xf>
    <xf numFmtId="0" fontId="28" fillId="21" borderId="16" xfId="0" applyFont="1" applyFill="1" applyBorder="1" applyAlignment="1">
      <alignment horizontal="center" vertical="center"/>
    </xf>
    <xf numFmtId="0" fontId="24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36" fillId="0" borderId="14" xfId="0" applyFont="1" applyBorder="1" applyAlignment="1" applyProtection="1">
      <alignment vertical="center" wrapText="1"/>
      <protection locked="0"/>
    </xf>
    <xf numFmtId="0" fontId="36" fillId="0" borderId="0" xfId="0" applyFont="1" applyAlignment="1" applyProtection="1">
      <alignment vertical="center" wrapText="1"/>
      <protection locked="0"/>
    </xf>
    <xf numFmtId="0" fontId="36" fillId="0" borderId="15" xfId="0" applyFont="1" applyBorder="1" applyAlignment="1" applyProtection="1">
      <alignment vertical="center" wrapText="1"/>
      <protection locked="0"/>
    </xf>
    <xf numFmtId="43" fontId="24" fillId="0" borderId="15" xfId="0" applyNumberFormat="1" applyFont="1" applyBorder="1" applyAlignment="1">
      <alignment vertical="center"/>
    </xf>
    <xf numFmtId="0" fontId="24" fillId="0" borderId="15" xfId="0" applyFont="1" applyBorder="1" applyAlignment="1" applyProtection="1">
      <alignment horizontal="center" vertical="center" wrapText="1"/>
      <protection locked="0"/>
    </xf>
    <xf numFmtId="0" fontId="36" fillId="0" borderId="14" xfId="0" applyFont="1" applyBorder="1" applyAlignment="1" applyProtection="1">
      <alignment horizontal="center" vertical="center" wrapText="1"/>
      <protection locked="0"/>
    </xf>
    <xf numFmtId="0" fontId="36" fillId="0" borderId="15" xfId="0" applyFont="1" applyBorder="1" applyAlignment="1" applyProtection="1">
      <alignment horizontal="center" vertical="center" wrapText="1"/>
      <protection locked="0"/>
    </xf>
    <xf numFmtId="0" fontId="35" fillId="0" borderId="14" xfId="0" applyFont="1" applyBorder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0" fontId="35" fillId="0" borderId="15" xfId="0" applyFont="1" applyBorder="1" applyAlignment="1" applyProtection="1">
      <alignment horizontal="center" vertical="center" wrapText="1"/>
      <protection locked="0"/>
    </xf>
    <xf numFmtId="0" fontId="24" fillId="0" borderId="15" xfId="0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/>
    </xf>
    <xf numFmtId="0" fontId="24" fillId="0" borderId="14" xfId="0" applyFont="1" applyBorder="1" applyAlignment="1" applyProtection="1">
      <alignment vertical="center" wrapText="1"/>
      <protection locked="0"/>
    </xf>
    <xf numFmtId="0" fontId="24" fillId="0" borderId="0" xfId="0" applyFont="1" applyAlignment="1" applyProtection="1">
      <alignment vertical="center" wrapText="1"/>
      <protection locked="0"/>
    </xf>
    <xf numFmtId="0" fontId="24" fillId="0" borderId="15" xfId="0" applyFont="1" applyBorder="1" applyAlignment="1" applyProtection="1">
      <alignment vertical="center" wrapText="1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top"/>
    </xf>
    <xf numFmtId="0" fontId="24" fillId="0" borderId="18" xfId="0" applyFont="1" applyBorder="1" applyAlignment="1" applyProtection="1">
      <alignment horizontal="center" vertical="top"/>
      <protection locked="0"/>
    </xf>
    <xf numFmtId="43" fontId="24" fillId="0" borderId="18" xfId="0" applyNumberFormat="1" applyFont="1" applyBorder="1" applyAlignment="1" applyProtection="1">
      <alignment vertical="top"/>
      <protection locked="0"/>
    </xf>
    <xf numFmtId="43" fontId="24" fillId="0" borderId="18" xfId="0" applyNumberFormat="1" applyFont="1" applyBorder="1" applyAlignment="1">
      <alignment vertical="top"/>
    </xf>
    <xf numFmtId="0" fontId="0" fillId="0" borderId="0" xfId="0" applyAlignment="1">
      <alignment horizontal="left" vertical="top"/>
    </xf>
    <xf numFmtId="0" fontId="24" fillId="0" borderId="18" xfId="0" applyFont="1" applyBorder="1" applyAlignment="1" applyProtection="1">
      <alignment horizontal="left" vertical="top"/>
      <protection locked="0"/>
    </xf>
    <xf numFmtId="43" fontId="24" fillId="0" borderId="18" xfId="0" applyNumberFormat="1" applyFont="1" applyBorder="1" applyAlignment="1" applyProtection="1">
      <alignment horizontal="left" vertical="top"/>
      <protection locked="0"/>
    </xf>
    <xf numFmtId="43" fontId="24" fillId="0" borderId="18" xfId="0" applyNumberFormat="1" applyFont="1" applyBorder="1" applyAlignment="1">
      <alignment horizontal="left" vertical="top"/>
    </xf>
    <xf numFmtId="43" fontId="24" fillId="0" borderId="18" xfId="0" applyNumberFormat="1" applyFont="1" applyBorder="1" applyAlignment="1" applyProtection="1">
      <alignment horizontal="center" vertical="top"/>
      <protection locked="0"/>
    </xf>
    <xf numFmtId="43" fontId="24" fillId="0" borderId="18" xfId="0" applyNumberFormat="1" applyFont="1" applyBorder="1" applyAlignment="1">
      <alignment horizontal="center" vertical="top"/>
    </xf>
    <xf numFmtId="0" fontId="28" fillId="0" borderId="0" xfId="0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4" fillId="0" borderId="18" xfId="0" applyFont="1" applyBorder="1" applyAlignment="1" applyProtection="1">
      <alignment horizontal="center"/>
      <protection locked="0"/>
    </xf>
    <xf numFmtId="43" fontId="24" fillId="0" borderId="18" xfId="0" applyNumberFormat="1" applyFont="1" applyBorder="1" applyAlignment="1" applyProtection="1">
      <alignment horizontal="center"/>
      <protection locked="0"/>
    </xf>
    <xf numFmtId="43" fontId="24" fillId="0" borderId="18" xfId="0" applyNumberFormat="1" applyFont="1" applyBorder="1" applyAlignment="1">
      <alignment horizontal="center"/>
    </xf>
    <xf numFmtId="0" fontId="33" fillId="0" borderId="0" xfId="0" applyFont="1"/>
    <xf numFmtId="43" fontId="37" fillId="0" borderId="15" xfId="0" applyNumberFormat="1" applyFont="1" applyBorder="1" applyAlignment="1">
      <alignment vertical="center"/>
    </xf>
    <xf numFmtId="0" fontId="38" fillId="0" borderId="0" xfId="0" applyFont="1"/>
    <xf numFmtId="0" fontId="24" fillId="0" borderId="0" xfId="0" applyFont="1" applyAlignment="1">
      <alignment vertical="top" wrapText="1"/>
    </xf>
    <xf numFmtId="164" fontId="34" fillId="20" borderId="17" xfId="0" applyNumberFormat="1" applyFont="1" applyFill="1" applyBorder="1" applyAlignment="1">
      <alignment vertical="center"/>
    </xf>
    <xf numFmtId="43" fontId="25" fillId="0" borderId="0" xfId="0" applyNumberFormat="1" applyFont="1"/>
    <xf numFmtId="43" fontId="0" fillId="0" borderId="0" xfId="0" applyNumberFormat="1"/>
    <xf numFmtId="43" fontId="24" fillId="0" borderId="18" xfId="0" applyNumberFormat="1" applyFont="1" applyBorder="1"/>
    <xf numFmtId="43" fontId="24" fillId="0" borderId="15" xfId="0" applyNumberFormat="1" applyFont="1" applyBorder="1" applyAlignment="1">
      <alignment vertical="top"/>
    </xf>
    <xf numFmtId="0" fontId="0" fillId="0" borderId="14" xfId="0" applyBorder="1" applyAlignment="1">
      <alignment vertical="top"/>
    </xf>
    <xf numFmtId="0" fontId="33" fillId="0" borderId="0" xfId="0" applyFont="1" applyAlignment="1">
      <alignment vertical="top"/>
    </xf>
    <xf numFmtId="0" fontId="0" fillId="0" borderId="0" xfId="0" applyAlignment="1">
      <alignment horizontal="right" vertical="top" wrapText="1"/>
    </xf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4" borderId="0" xfId="0" applyFill="1" applyAlignment="1">
      <alignment horizontal="center"/>
    </xf>
    <xf numFmtId="0" fontId="24" fillId="0" borderId="14" xfId="0" applyFont="1" applyBorder="1" applyAlignment="1" applyProtection="1">
      <alignment horizontal="left" vertical="center" wrapText="1"/>
      <protection locked="0"/>
    </xf>
    <xf numFmtId="0" fontId="24" fillId="0" borderId="0" xfId="0" applyFont="1" applyAlignment="1" applyProtection="1">
      <alignment horizontal="left" vertical="center" wrapText="1"/>
      <protection locked="0"/>
    </xf>
    <xf numFmtId="0" fontId="24" fillId="0" borderId="15" xfId="0" applyFont="1" applyBorder="1" applyAlignment="1" applyProtection="1">
      <alignment horizontal="left" vertical="center" wrapText="1"/>
      <protection locked="0"/>
    </xf>
    <xf numFmtId="0" fontId="24" fillId="0" borderId="14" xfId="0" applyFont="1" applyBorder="1" applyAlignment="1" applyProtection="1">
      <alignment horizontal="left" vertical="top" wrapText="1"/>
      <protection locked="0"/>
    </xf>
    <xf numFmtId="0" fontId="24" fillId="0" borderId="15" xfId="0" applyFont="1" applyBorder="1" applyAlignment="1" applyProtection="1">
      <alignment horizontal="left" vertical="top" wrapText="1"/>
      <protection locked="0"/>
    </xf>
    <xf numFmtId="3" fontId="9" fillId="0" borderId="0" xfId="0" applyNumberFormat="1" applyFont="1"/>
    <xf numFmtId="164" fontId="0" fillId="23" borderId="0" xfId="0" applyNumberFormat="1" applyFill="1" applyAlignment="1">
      <alignment horizontal="center"/>
    </xf>
    <xf numFmtId="0" fontId="28" fillId="25" borderId="0" xfId="0" applyFont="1" applyFill="1" applyAlignment="1">
      <alignment horizontal="center" vertical="center"/>
    </xf>
    <xf numFmtId="0" fontId="28" fillId="25" borderId="14" xfId="0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8" fillId="25" borderId="18" xfId="0" applyFont="1" applyFill="1" applyBorder="1" applyAlignment="1">
      <alignment horizontal="center" vertical="center"/>
    </xf>
    <xf numFmtId="2" fontId="0" fillId="22" borderId="0" xfId="44" applyNumberFormat="1" applyFont="1" applyFill="1"/>
    <xf numFmtId="0" fontId="24" fillId="0" borderId="0" xfId="0" applyFont="1" applyAlignment="1" applyProtection="1">
      <alignment horizontal="left" vertical="top" wrapText="1"/>
      <protection locked="0"/>
    </xf>
    <xf numFmtId="0" fontId="0" fillId="0" borderId="20" xfId="0" applyBorder="1"/>
    <xf numFmtId="0" fontId="34" fillId="0" borderId="0" xfId="0" applyFont="1" applyAlignment="1">
      <alignment horizontal="center" vertical="center"/>
    </xf>
    <xf numFmtId="164" fontId="34" fillId="0" borderId="0" xfId="0" applyNumberFormat="1" applyFont="1" applyAlignment="1">
      <alignment vertical="center"/>
    </xf>
    <xf numFmtId="0" fontId="28" fillId="0" borderId="12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/>
    </xf>
    <xf numFmtId="0" fontId="42" fillId="0" borderId="2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3" fillId="0" borderId="0" xfId="0" applyFont="1" applyAlignment="1" applyProtection="1">
      <alignment horizontal="center" vertical="top" wrapText="1"/>
      <protection locked="0"/>
    </xf>
    <xf numFmtId="0" fontId="32" fillId="0" borderId="0" xfId="35" applyAlignment="1" applyProtection="1"/>
    <xf numFmtId="0" fontId="0" fillId="23" borderId="0" xfId="0" applyFill="1" applyAlignment="1">
      <alignment horizontal="left" vertical="top"/>
    </xf>
    <xf numFmtId="0" fontId="43" fillId="23" borderId="0" xfId="0" applyFont="1" applyFill="1" applyAlignment="1" applyProtection="1">
      <alignment horizontal="left" vertical="top" wrapText="1"/>
      <protection locked="0"/>
    </xf>
    <xf numFmtId="0" fontId="43" fillId="23" borderId="14" xfId="0" applyFont="1" applyFill="1" applyBorder="1" applyAlignment="1" applyProtection="1">
      <alignment horizontal="left" vertical="top" wrapText="1"/>
      <protection locked="0"/>
    </xf>
    <xf numFmtId="0" fontId="0" fillId="23" borderId="14" xfId="0" applyFill="1" applyBorder="1" applyAlignment="1">
      <alignment horizontal="left" vertical="top"/>
    </xf>
    <xf numFmtId="0" fontId="43" fillId="22" borderId="0" xfId="0" applyFont="1" applyFill="1" applyAlignment="1" applyProtection="1">
      <alignment horizontal="left" vertical="top" wrapText="1"/>
      <protection locked="0"/>
    </xf>
    <xf numFmtId="0" fontId="43" fillId="26" borderId="14" xfId="0" applyFont="1" applyFill="1" applyBorder="1" applyAlignment="1" applyProtection="1">
      <alignment horizontal="left" vertical="top" wrapText="1"/>
      <protection locked="0"/>
    </xf>
    <xf numFmtId="0" fontId="28" fillId="21" borderId="21" xfId="0" applyFont="1" applyFill="1" applyBorder="1" applyAlignment="1">
      <alignment horizontal="center" vertical="center"/>
    </xf>
    <xf numFmtId="14" fontId="24" fillId="0" borderId="28" xfId="0" applyNumberFormat="1" applyFont="1" applyBorder="1" applyAlignment="1" applyProtection="1">
      <alignment horizontal="center" vertical="center"/>
      <protection locked="0"/>
    </xf>
    <xf numFmtId="0" fontId="4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43" fontId="24" fillId="0" borderId="18" xfId="0" applyNumberFormat="1" applyFont="1" applyBorder="1" applyAlignment="1" applyProtection="1">
      <alignment horizontal="center" vertical="center"/>
      <protection locked="0"/>
    </xf>
    <xf numFmtId="43" fontId="24" fillId="0" borderId="18" xfId="0" applyNumberFormat="1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164" fontId="34" fillId="0" borderId="29" xfId="0" applyNumberFormat="1" applyFont="1" applyBorder="1" applyAlignment="1">
      <alignment vertical="center"/>
    </xf>
    <xf numFmtId="43" fontId="30" fillId="0" borderId="13" xfId="0" applyNumberFormat="1" applyFont="1" applyBorder="1" applyAlignment="1">
      <alignment vertical="center"/>
    </xf>
    <xf numFmtId="164" fontId="34" fillId="20" borderId="32" xfId="0" applyNumberFormat="1" applyFont="1" applyFill="1" applyBorder="1" applyAlignment="1">
      <alignment vertical="center"/>
    </xf>
    <xf numFmtId="0" fontId="35" fillId="0" borderId="14" xfId="0" applyFont="1" applyBorder="1" applyAlignment="1" applyProtection="1">
      <alignment vertical="center" wrapText="1"/>
      <protection locked="0"/>
    </xf>
    <xf numFmtId="0" fontId="35" fillId="0" borderId="0" xfId="0" applyFont="1" applyAlignment="1" applyProtection="1">
      <alignment vertical="center" wrapText="1"/>
      <protection locked="0"/>
    </xf>
    <xf numFmtId="0" fontId="35" fillId="0" borderId="15" xfId="0" applyFont="1" applyBorder="1" applyAlignment="1" applyProtection="1">
      <alignment vertical="center" wrapText="1"/>
      <protection locked="0"/>
    </xf>
    <xf numFmtId="0" fontId="28" fillId="21" borderId="10" xfId="0" applyFont="1" applyFill="1" applyBorder="1" applyAlignment="1">
      <alignment horizontal="center" vertical="center"/>
    </xf>
    <xf numFmtId="0" fontId="36" fillId="0" borderId="14" xfId="0" applyFont="1" applyBorder="1" applyAlignment="1" applyProtection="1">
      <alignment horizontal="center" vertical="center" wrapText="1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0" fontId="36" fillId="0" borderId="15" xfId="0" applyFont="1" applyBorder="1" applyAlignment="1" applyProtection="1">
      <alignment horizontal="center" vertical="center" wrapText="1"/>
      <protection locked="0"/>
    </xf>
    <xf numFmtId="0" fontId="24" fillId="0" borderId="14" xfId="0" applyFont="1" applyBorder="1" applyAlignment="1" applyProtection="1">
      <alignment horizontal="left" vertical="top" wrapText="1"/>
      <protection locked="0"/>
    </xf>
    <xf numFmtId="0" fontId="24" fillId="0" borderId="0" xfId="0" applyFont="1" applyAlignment="1" applyProtection="1">
      <alignment horizontal="left" vertical="top"/>
      <protection locked="0"/>
    </xf>
    <xf numFmtId="0" fontId="24" fillId="0" borderId="15" xfId="0" applyFont="1" applyBorder="1" applyAlignment="1" applyProtection="1">
      <alignment horizontal="left" vertical="top"/>
      <protection locked="0"/>
    </xf>
    <xf numFmtId="0" fontId="28" fillId="0" borderId="22" xfId="0" applyFont="1" applyBorder="1" applyAlignment="1">
      <alignment horizontal="center" vertical="center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21" xfId="0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left" vertical="top"/>
    </xf>
    <xf numFmtId="0" fontId="28" fillId="21" borderId="14" xfId="0" applyFont="1" applyFill="1" applyBorder="1" applyAlignment="1">
      <alignment horizontal="left" vertical="center"/>
    </xf>
    <xf numFmtId="0" fontId="28" fillId="21" borderId="0" xfId="0" applyFont="1" applyFill="1" applyAlignment="1">
      <alignment horizontal="left" vertical="center"/>
    </xf>
    <xf numFmtId="0" fontId="28" fillId="21" borderId="11" xfId="0" applyFont="1" applyFill="1" applyBorder="1" applyAlignment="1">
      <alignment horizontal="center" vertical="center"/>
    </xf>
    <xf numFmtId="0" fontId="28" fillId="21" borderId="12" xfId="0" applyFont="1" applyFill="1" applyBorder="1" applyAlignment="1">
      <alignment horizontal="center" vertical="center"/>
    </xf>
    <xf numFmtId="0" fontId="28" fillId="21" borderId="13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4" fillId="0" borderId="0" xfId="0" applyFont="1" applyAlignment="1" applyProtection="1">
      <alignment horizontal="left" vertical="top" wrapText="1"/>
      <protection locked="0"/>
    </xf>
    <xf numFmtId="0" fontId="24" fillId="0" borderId="0" xfId="0" applyFont="1" applyAlignment="1">
      <alignment horizontal="left" vertical="center" wrapText="1"/>
    </xf>
    <xf numFmtId="0" fontId="30" fillId="0" borderId="16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4" fillId="20" borderId="30" xfId="0" applyFont="1" applyFill="1" applyBorder="1" applyAlignment="1">
      <alignment horizontal="center" vertical="center"/>
    </xf>
    <xf numFmtId="0" fontId="34" fillId="20" borderId="31" xfId="0" applyFont="1" applyFill="1" applyBorder="1" applyAlignment="1">
      <alignment horizontal="center" vertical="center"/>
    </xf>
    <xf numFmtId="0" fontId="24" fillId="0" borderId="15" xfId="0" applyFont="1" applyBorder="1" applyAlignment="1" applyProtection="1">
      <alignment horizontal="left" vertical="top" wrapText="1"/>
      <protection locked="0"/>
    </xf>
    <xf numFmtId="0" fontId="28" fillId="21" borderId="16" xfId="0" applyFont="1" applyFill="1" applyBorder="1" applyAlignment="1">
      <alignment horizontal="center" vertical="center"/>
    </xf>
    <xf numFmtId="0" fontId="28" fillId="21" borderId="19" xfId="0" applyFont="1" applyFill="1" applyBorder="1" applyAlignment="1">
      <alignment horizontal="center" vertical="center"/>
    </xf>
    <xf numFmtId="0" fontId="28" fillId="21" borderId="17" xfId="0" applyFont="1" applyFill="1" applyBorder="1" applyAlignment="1">
      <alignment horizontal="center" vertical="center"/>
    </xf>
    <xf numFmtId="0" fontId="24" fillId="0" borderId="10" xfId="0" applyFont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left" vertical="center" wrapText="1"/>
      <protection locked="0"/>
    </xf>
    <xf numFmtId="0" fontId="24" fillId="0" borderId="0" xfId="0" applyFont="1" applyAlignment="1" applyProtection="1">
      <alignment horizontal="left" vertical="center" wrapText="1"/>
      <protection locked="0"/>
    </xf>
    <xf numFmtId="0" fontId="24" fillId="0" borderId="15" xfId="0" applyFont="1" applyBorder="1" applyAlignment="1" applyProtection="1">
      <alignment horizontal="left" vertical="center" wrapText="1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37" fillId="0" borderId="15" xfId="0" applyFont="1" applyBorder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left" vertical="top" wrapText="1"/>
      <protection locked="0"/>
    </xf>
    <xf numFmtId="0" fontId="35" fillId="0" borderId="15" xfId="0" applyFont="1" applyBorder="1" applyAlignment="1" applyProtection="1">
      <alignment horizontal="left" vertical="top" wrapText="1"/>
      <protection locked="0"/>
    </xf>
    <xf numFmtId="43" fontId="24" fillId="0" borderId="14" xfId="0" applyNumberFormat="1" applyFont="1" applyBorder="1" applyAlignment="1">
      <alignment horizontal="center" vertical="top"/>
    </xf>
    <xf numFmtId="43" fontId="24" fillId="0" borderId="18" xfId="0" applyNumberFormat="1" applyFont="1" applyBorder="1" applyAlignment="1">
      <alignment horizontal="center" vertical="top"/>
    </xf>
    <xf numFmtId="43" fontId="24" fillId="0" borderId="0" xfId="0" applyNumberFormat="1" applyFont="1" applyAlignment="1">
      <alignment vertical="top"/>
    </xf>
    <xf numFmtId="0" fontId="24" fillId="0" borderId="14" xfId="0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0" borderId="15" xfId="0" applyFont="1" applyBorder="1" applyAlignment="1" applyProtection="1">
      <alignment horizontal="center" vertical="center" wrapText="1"/>
      <protection locked="0"/>
    </xf>
    <xf numFmtId="0" fontId="39" fillId="25" borderId="11" xfId="0" applyFont="1" applyFill="1" applyBorder="1" applyAlignment="1">
      <alignment horizontal="center" vertical="center" wrapText="1"/>
    </xf>
    <xf numFmtId="0" fontId="39" fillId="25" borderId="12" xfId="0" applyFont="1" applyFill="1" applyBorder="1" applyAlignment="1">
      <alignment horizontal="center" vertical="center" wrapText="1"/>
    </xf>
    <xf numFmtId="0" fontId="39" fillId="25" borderId="13" xfId="0" applyFont="1" applyFill="1" applyBorder="1" applyAlignment="1">
      <alignment horizontal="center" vertical="center" wrapText="1"/>
    </xf>
    <xf numFmtId="0" fontId="39" fillId="25" borderId="14" xfId="0" applyFont="1" applyFill="1" applyBorder="1" applyAlignment="1">
      <alignment horizontal="center" vertical="center" wrapText="1"/>
    </xf>
    <xf numFmtId="0" fontId="39" fillId="25" borderId="0" xfId="0" applyFont="1" applyFill="1" applyAlignment="1">
      <alignment horizontal="center" vertical="center" wrapText="1"/>
    </xf>
    <xf numFmtId="0" fontId="39" fillId="25" borderId="15" xfId="0" applyFont="1" applyFill="1" applyBorder="1" applyAlignment="1">
      <alignment horizontal="center" vertical="center" wrapText="1"/>
    </xf>
    <xf numFmtId="0" fontId="35" fillId="0" borderId="14" xfId="0" applyFont="1" applyBorder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0" fontId="35" fillId="0" borderId="15" xfId="0" applyFont="1" applyBorder="1" applyAlignment="1" applyProtection="1">
      <alignment horizontal="center" vertical="center" wrapText="1"/>
      <protection locked="0"/>
    </xf>
    <xf numFmtId="43" fontId="24" fillId="0" borderId="18" xfId="0" applyNumberFormat="1" applyFont="1" applyBorder="1" applyAlignment="1" applyProtection="1">
      <alignment horizontal="center" vertical="top"/>
      <protection locked="0"/>
    </xf>
    <xf numFmtId="0" fontId="24" fillId="0" borderId="0" xfId="0" applyFont="1" applyAlignment="1">
      <alignment horizontal="center"/>
    </xf>
    <xf numFmtId="0" fontId="34" fillId="20" borderId="16" xfId="0" applyFont="1" applyFill="1" applyBorder="1" applyAlignment="1">
      <alignment horizontal="center" vertical="center"/>
    </xf>
    <xf numFmtId="0" fontId="34" fillId="20" borderId="19" xfId="0" applyFont="1" applyFill="1" applyBorder="1" applyAlignment="1">
      <alignment horizontal="center" vertical="center"/>
    </xf>
    <xf numFmtId="0" fontId="24" fillId="0" borderId="14" xfId="0" applyFont="1" applyBorder="1" applyAlignment="1" applyProtection="1">
      <alignment horizontal="left" vertical="top"/>
      <protection locked="0"/>
    </xf>
    <xf numFmtId="0" fontId="0" fillId="0" borderId="18" xfId="0" applyBorder="1" applyAlignment="1">
      <alignment horizontal="center" vertical="top"/>
    </xf>
    <xf numFmtId="0" fontId="24" fillId="0" borderId="18" xfId="0" applyFont="1" applyBorder="1" applyAlignment="1" applyProtection="1">
      <alignment horizontal="center" vertical="top"/>
      <protection locked="0"/>
    </xf>
    <xf numFmtId="43" fontId="24" fillId="0" borderId="18" xfId="0" applyNumberFormat="1" applyFont="1" applyBorder="1" applyAlignment="1" applyProtection="1">
      <alignment vertical="top"/>
      <protection locked="0"/>
    </xf>
    <xf numFmtId="43" fontId="24" fillId="0" borderId="18" xfId="0" applyNumberFormat="1" applyFont="1" applyBorder="1" applyAlignment="1">
      <alignment vertical="top"/>
    </xf>
    <xf numFmtId="0" fontId="0" fillId="0" borderId="15" xfId="0" applyBorder="1" applyAlignment="1">
      <alignment horizontal="center" vertical="top"/>
    </xf>
    <xf numFmtId="0" fontId="41" fillId="0" borderId="0" xfId="0" applyFont="1" applyAlignment="1">
      <alignment horizontal="center"/>
    </xf>
    <xf numFmtId="0" fontId="28" fillId="21" borderId="21" xfId="0" applyFont="1" applyFill="1" applyBorder="1" applyAlignment="1">
      <alignment horizontal="center" vertical="center"/>
    </xf>
    <xf numFmtId="0" fontId="24" fillId="0" borderId="26" xfId="0" applyFont="1" applyBorder="1" applyAlignment="1" applyProtection="1">
      <alignment horizontal="center" vertical="center"/>
      <protection locked="0"/>
    </xf>
    <xf numFmtId="0" fontId="24" fillId="0" borderId="27" xfId="0" applyFont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4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36" xfId="0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urrency" xfId="44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 customBuiltin="1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www.vertex42.com/ExcelTemplates/job-estimate-template.html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www.vertex42.com/ExcelTemplates/job-estimate-template.html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www.vertex42.com/ExcelTemplates/job-estimate-template.html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www.vertex42.com/ExcelTemplates/job-estimate-template.htm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www.vertex42.com/ExcelTemplates/job-estimate-template.html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www.vertex42.com/ExcelTemplates/job-estimate-template.html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www.vertex42.com/ExcelTemplates/job-estimate-template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759200</xdr:colOff>
      <xdr:row>0</xdr:row>
      <xdr:rowOff>411331</xdr:rowOff>
    </xdr:from>
    <xdr:to>
      <xdr:col>6</xdr:col>
      <xdr:colOff>366995</xdr:colOff>
      <xdr:row>6</xdr:row>
      <xdr:rowOff>64631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BC3816-C2A2-B668-7B0E-A6E08EC6A1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6" b="28974" l="9870" r="89758">
                      <a14:foregroundMark x1="45624" y1="12274" x2="50838" y2="16097"/>
                      <a14:foregroundMark x1="32030" y1="16298" x2="32030" y2="16298"/>
                      <a14:foregroundMark x1="33706" y1="16901" x2="37803" y2="17706"/>
                      <a14:foregroundMark x1="46927" y1="17907" x2="49162" y2="18511"/>
                      <a14:foregroundMark x1="51955" y1="18913" x2="57728" y2="19920"/>
                      <a14:foregroundMark x1="37058" y1="15091" x2="66667" y2="16901"/>
                      <a14:foregroundMark x1="66667" y1="16901" x2="61080" y2="15694"/>
                      <a14:foregroundMark x1="39479" y1="13481" x2="43389" y2="4829"/>
                      <a14:foregroundMark x1="38920" y1="6439" x2="49907" y2="23742"/>
                      <a14:foregroundMark x1="49907" y1="23742" x2="27933" y2="25956"/>
                      <a14:foregroundMark x1="31471" y1="20724" x2="38361" y2="25956"/>
                      <a14:foregroundMark x1="30912" y1="22334" x2="29050" y2="25956"/>
                      <a14:foregroundMark x1="25698" y1="25553" x2="25698" y2="25553"/>
                      <a14:foregroundMark x1="27374" y1="27163" x2="32588" y2="25956"/>
                      <a14:foregroundMark x1="25140" y1="19920" x2="42831" y2="24346"/>
                      <a14:foregroundMark x1="62197" y1="19316" x2="76536" y2="27163"/>
                      <a14:foregroundMark x1="69088" y1="23139" x2="65736" y2="12475"/>
                      <a14:foregroundMark x1="66294" y1="18310" x2="69646" y2="10060"/>
                      <a14:foregroundMark x1="66853" y1="8652" x2="72253" y2="24547"/>
                      <a14:foregroundMark x1="72253" y1="24547" x2="72067" y2="25956"/>
                      <a14:foregroundMark x1="70950" y1="25956" x2="52514" y2="26157"/>
                      <a14:foregroundMark x1="67412" y1="26962" x2="40596" y2="24547"/>
                      <a14:foregroundMark x1="50279" y1="25553" x2="34264" y2="26962"/>
                      <a14:foregroundMark x1="37803" y1="26962" x2="56052" y2="26962"/>
                      <a14:foregroundMark x1="53073" y1="27565" x2="27002" y2="25755"/>
                      <a14:foregroundMark x1="27002" y1="25755" x2="29795" y2="16901"/>
                      <a14:foregroundMark x1="30354" y1="18511" x2="46369" y2="29175"/>
                      <a14:foregroundMark x1="42831" y1="28773" x2="24581" y2="27767"/>
                      <a14:foregroundMark x1="27933" y1="26962" x2="42272" y2="22334"/>
                      <a14:foregroundMark x1="51397" y1="12877" x2="61080" y2="11871"/>
                      <a14:foregroundMark x1="61080" y1="12274" x2="57728" y2="17706"/>
                      <a14:foregroundMark x1="56611" y1="7042" x2="56611" y2="5231"/>
                      <a14:foregroundMark x1="51955" y1="5835" x2="46927" y2="3823"/>
                      <a14:foregroundMark x1="44507" y1="8451" x2="70950" y2="1006"/>
                      <a14:foregroundMark x1="70950" y1="1006" x2="73743" y2="1006"/>
                      <a14:foregroundMark x1="73743" y1="3018" x2="79516" y2="19316"/>
                      <a14:foregroundMark x1="79516" y1="19316" x2="72626" y2="26157"/>
                      <a14:foregroundMark x1="40037" y1="3622" x2="25698" y2="19920"/>
                      <a14:foregroundMark x1="72067" y1="26559" x2="73184" y2="27767"/>
                      <a14:foregroundMark x1="72067" y1="26157" x2="55493" y2="27767"/>
                      <a14:foregroundMark x1="66853" y1="27767" x2="45624" y2="25553"/>
                      <a14:foregroundMark x1="59963" y1="26962" x2="72626" y2="277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71261"/>
        <a:stretch/>
      </xdr:blipFill>
      <xdr:spPr bwMode="auto">
        <a:xfrm>
          <a:off x="2211763" y="411331"/>
          <a:ext cx="1953326" cy="99870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135731</xdr:rowOff>
    </xdr:from>
    <xdr:to>
      <xdr:col>10</xdr:col>
      <xdr:colOff>1428750</xdr:colOff>
      <xdr:row>1</xdr:row>
      <xdr:rowOff>1274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135731"/>
          <a:ext cx="1428750" cy="321469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3" name="Pictur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1657350"/>
          <a:ext cx="2857500" cy="10477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 fPrint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425825</xdr:colOff>
      <xdr:row>0</xdr:row>
      <xdr:rowOff>423237</xdr:rowOff>
    </xdr:from>
    <xdr:to>
      <xdr:col>6</xdr:col>
      <xdr:colOff>33620</xdr:colOff>
      <xdr:row>6</xdr:row>
      <xdr:rowOff>76537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C936E7-3900-46DC-BEBE-3165B595BF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6" b="28974" l="9870" r="89758">
                      <a14:foregroundMark x1="45624" y1="12274" x2="50838" y2="16097"/>
                      <a14:foregroundMark x1="32030" y1="16298" x2="32030" y2="16298"/>
                      <a14:foregroundMark x1="33706" y1="16901" x2="37803" y2="17706"/>
                      <a14:foregroundMark x1="46927" y1="17907" x2="49162" y2="18511"/>
                      <a14:foregroundMark x1="51955" y1="18913" x2="57728" y2="19920"/>
                      <a14:foregroundMark x1="37058" y1="15091" x2="66667" y2="16901"/>
                      <a14:foregroundMark x1="66667" y1="16901" x2="61080" y2="15694"/>
                      <a14:foregroundMark x1="39479" y1="13481" x2="43389" y2="4829"/>
                      <a14:foregroundMark x1="38920" y1="6439" x2="49907" y2="23742"/>
                      <a14:foregroundMark x1="49907" y1="23742" x2="27933" y2="25956"/>
                      <a14:foregroundMark x1="31471" y1="20724" x2="38361" y2="25956"/>
                      <a14:foregroundMark x1="30912" y1="22334" x2="29050" y2="25956"/>
                      <a14:foregroundMark x1="25698" y1="25553" x2="25698" y2="25553"/>
                      <a14:foregroundMark x1="27374" y1="27163" x2="32588" y2="25956"/>
                      <a14:foregroundMark x1="25140" y1="19920" x2="42831" y2="24346"/>
                      <a14:foregroundMark x1="62197" y1="19316" x2="76536" y2="27163"/>
                      <a14:foregroundMark x1="69088" y1="23139" x2="65736" y2="12475"/>
                      <a14:foregroundMark x1="66294" y1="18310" x2="69646" y2="10060"/>
                      <a14:foregroundMark x1="66853" y1="8652" x2="72253" y2="24547"/>
                      <a14:foregroundMark x1="72253" y1="24547" x2="72067" y2="25956"/>
                      <a14:foregroundMark x1="70950" y1="25956" x2="52514" y2="26157"/>
                      <a14:foregroundMark x1="67412" y1="26962" x2="40596" y2="24547"/>
                      <a14:foregroundMark x1="50279" y1="25553" x2="34264" y2="26962"/>
                      <a14:foregroundMark x1="37803" y1="26962" x2="56052" y2="26962"/>
                      <a14:foregroundMark x1="53073" y1="27565" x2="27002" y2="25755"/>
                      <a14:foregroundMark x1="27002" y1="25755" x2="29795" y2="16901"/>
                      <a14:foregroundMark x1="30354" y1="18511" x2="46369" y2="29175"/>
                      <a14:foregroundMark x1="42831" y1="28773" x2="24581" y2="27767"/>
                      <a14:foregroundMark x1="27933" y1="26962" x2="42272" y2="22334"/>
                      <a14:foregroundMark x1="51397" y1="12877" x2="61080" y2="11871"/>
                      <a14:foregroundMark x1="61080" y1="12274" x2="57728" y2="17706"/>
                      <a14:foregroundMark x1="56611" y1="7042" x2="56611" y2="5231"/>
                      <a14:foregroundMark x1="51955" y1="5835" x2="46927" y2="3823"/>
                      <a14:foregroundMark x1="44507" y1="8451" x2="70950" y2="1006"/>
                      <a14:foregroundMark x1="70950" y1="1006" x2="73743" y2="1006"/>
                      <a14:foregroundMark x1="73743" y1="3018" x2="79516" y2="19316"/>
                      <a14:foregroundMark x1="79516" y1="19316" x2="72626" y2="26157"/>
                      <a14:foregroundMark x1="40037" y1="3622" x2="25698" y2="19920"/>
                      <a14:foregroundMark x1="72067" y1="26559" x2="73184" y2="27767"/>
                      <a14:foregroundMark x1="72067" y1="26157" x2="55493" y2="27767"/>
                      <a14:foregroundMark x1="66853" y1="27767" x2="45624" y2="25553"/>
                      <a14:foregroundMark x1="59963" y1="26962" x2="72626" y2="277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71261"/>
        <a:stretch/>
      </xdr:blipFill>
      <xdr:spPr bwMode="auto">
        <a:xfrm>
          <a:off x="1873625" y="423237"/>
          <a:ext cx="1960470" cy="1015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135731</xdr:rowOff>
    </xdr:from>
    <xdr:to>
      <xdr:col>10</xdr:col>
      <xdr:colOff>1428750</xdr:colOff>
      <xdr:row>1</xdr:row>
      <xdr:rowOff>1274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6099E4-808B-41FA-9E8D-38616E056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731"/>
          <a:ext cx="1428750" cy="322743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8EBAB2-E6AE-4C00-A5AC-F959CC12E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514475"/>
          <a:ext cx="2857500" cy="10477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 fPrint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425825</xdr:colOff>
      <xdr:row>0</xdr:row>
      <xdr:rowOff>423237</xdr:rowOff>
    </xdr:from>
    <xdr:to>
      <xdr:col>6</xdr:col>
      <xdr:colOff>33620</xdr:colOff>
      <xdr:row>6</xdr:row>
      <xdr:rowOff>76537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383AB-B4A3-48CD-B054-988DF4723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6" b="28974" l="9870" r="89758">
                      <a14:foregroundMark x1="45624" y1="12274" x2="50838" y2="16097"/>
                      <a14:foregroundMark x1="32030" y1="16298" x2="32030" y2="16298"/>
                      <a14:foregroundMark x1="33706" y1="16901" x2="37803" y2="17706"/>
                      <a14:foregroundMark x1="46927" y1="17907" x2="49162" y2="18511"/>
                      <a14:foregroundMark x1="51955" y1="18913" x2="57728" y2="19920"/>
                      <a14:foregroundMark x1="37058" y1="15091" x2="66667" y2="16901"/>
                      <a14:foregroundMark x1="66667" y1="16901" x2="61080" y2="15694"/>
                      <a14:foregroundMark x1="39479" y1="13481" x2="43389" y2="4829"/>
                      <a14:foregroundMark x1="38920" y1="6439" x2="49907" y2="23742"/>
                      <a14:foregroundMark x1="49907" y1="23742" x2="27933" y2="25956"/>
                      <a14:foregroundMark x1="31471" y1="20724" x2="38361" y2="25956"/>
                      <a14:foregroundMark x1="30912" y1="22334" x2="29050" y2="25956"/>
                      <a14:foregroundMark x1="25698" y1="25553" x2="25698" y2="25553"/>
                      <a14:foregroundMark x1="27374" y1="27163" x2="32588" y2="25956"/>
                      <a14:foregroundMark x1="25140" y1="19920" x2="42831" y2="24346"/>
                      <a14:foregroundMark x1="62197" y1="19316" x2="76536" y2="27163"/>
                      <a14:foregroundMark x1="69088" y1="23139" x2="65736" y2="12475"/>
                      <a14:foregroundMark x1="66294" y1="18310" x2="69646" y2="10060"/>
                      <a14:foregroundMark x1="66853" y1="8652" x2="72253" y2="24547"/>
                      <a14:foregroundMark x1="72253" y1="24547" x2="72067" y2="25956"/>
                      <a14:foregroundMark x1="70950" y1="25956" x2="52514" y2="26157"/>
                      <a14:foregroundMark x1="67412" y1="26962" x2="40596" y2="24547"/>
                      <a14:foregroundMark x1="50279" y1="25553" x2="34264" y2="26962"/>
                      <a14:foregroundMark x1="37803" y1="26962" x2="56052" y2="26962"/>
                      <a14:foregroundMark x1="53073" y1="27565" x2="27002" y2="25755"/>
                      <a14:foregroundMark x1="27002" y1="25755" x2="29795" y2="16901"/>
                      <a14:foregroundMark x1="30354" y1="18511" x2="46369" y2="29175"/>
                      <a14:foregroundMark x1="42831" y1="28773" x2="24581" y2="27767"/>
                      <a14:foregroundMark x1="27933" y1="26962" x2="42272" y2="22334"/>
                      <a14:foregroundMark x1="51397" y1="12877" x2="61080" y2="11871"/>
                      <a14:foregroundMark x1="61080" y1="12274" x2="57728" y2="17706"/>
                      <a14:foregroundMark x1="56611" y1="7042" x2="56611" y2="5231"/>
                      <a14:foregroundMark x1="51955" y1="5835" x2="46927" y2="3823"/>
                      <a14:foregroundMark x1="44507" y1="8451" x2="70950" y2="1006"/>
                      <a14:foregroundMark x1="70950" y1="1006" x2="73743" y2="1006"/>
                      <a14:foregroundMark x1="73743" y1="3018" x2="79516" y2="19316"/>
                      <a14:foregroundMark x1="79516" y1="19316" x2="72626" y2="26157"/>
                      <a14:foregroundMark x1="40037" y1="3622" x2="25698" y2="19920"/>
                      <a14:foregroundMark x1="72067" y1="26559" x2="73184" y2="27767"/>
                      <a14:foregroundMark x1="72067" y1="26157" x2="55493" y2="27767"/>
                      <a14:foregroundMark x1="66853" y1="27767" x2="45624" y2="25553"/>
                      <a14:foregroundMark x1="59963" y1="26962" x2="72626" y2="277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71261"/>
        <a:stretch/>
      </xdr:blipFill>
      <xdr:spPr bwMode="auto">
        <a:xfrm>
          <a:off x="1873625" y="423237"/>
          <a:ext cx="1960470" cy="1015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135731</xdr:rowOff>
    </xdr:from>
    <xdr:to>
      <xdr:col>10</xdr:col>
      <xdr:colOff>1428750</xdr:colOff>
      <xdr:row>1</xdr:row>
      <xdr:rowOff>1274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B9B5A-72CE-4109-ABC1-612E75F75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731"/>
          <a:ext cx="1428750" cy="322743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01FA02-A5C6-47F4-B105-5E597D3A5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514475"/>
          <a:ext cx="2857500" cy="10477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 fPrint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425825</xdr:colOff>
      <xdr:row>0</xdr:row>
      <xdr:rowOff>423237</xdr:rowOff>
    </xdr:from>
    <xdr:to>
      <xdr:col>6</xdr:col>
      <xdr:colOff>33620</xdr:colOff>
      <xdr:row>6</xdr:row>
      <xdr:rowOff>76537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54F2E1-2603-4B06-85C1-54814AFF6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6" b="28974" l="9870" r="89758">
                      <a14:foregroundMark x1="45624" y1="12274" x2="50838" y2="16097"/>
                      <a14:foregroundMark x1="32030" y1="16298" x2="32030" y2="16298"/>
                      <a14:foregroundMark x1="33706" y1="16901" x2="37803" y2="17706"/>
                      <a14:foregroundMark x1="46927" y1="17907" x2="49162" y2="18511"/>
                      <a14:foregroundMark x1="51955" y1="18913" x2="57728" y2="19920"/>
                      <a14:foregroundMark x1="37058" y1="15091" x2="66667" y2="16901"/>
                      <a14:foregroundMark x1="66667" y1="16901" x2="61080" y2="15694"/>
                      <a14:foregroundMark x1="39479" y1="13481" x2="43389" y2="4829"/>
                      <a14:foregroundMark x1="38920" y1="6439" x2="49907" y2="23742"/>
                      <a14:foregroundMark x1="49907" y1="23742" x2="27933" y2="25956"/>
                      <a14:foregroundMark x1="31471" y1="20724" x2="38361" y2="25956"/>
                      <a14:foregroundMark x1="30912" y1="22334" x2="29050" y2="25956"/>
                      <a14:foregroundMark x1="25698" y1="25553" x2="25698" y2="25553"/>
                      <a14:foregroundMark x1="27374" y1="27163" x2="32588" y2="25956"/>
                      <a14:foregroundMark x1="25140" y1="19920" x2="42831" y2="24346"/>
                      <a14:foregroundMark x1="62197" y1="19316" x2="76536" y2="27163"/>
                      <a14:foregroundMark x1="69088" y1="23139" x2="65736" y2="12475"/>
                      <a14:foregroundMark x1="66294" y1="18310" x2="69646" y2="10060"/>
                      <a14:foregroundMark x1="66853" y1="8652" x2="72253" y2="24547"/>
                      <a14:foregroundMark x1="72253" y1="24547" x2="72067" y2="25956"/>
                      <a14:foregroundMark x1="70950" y1="25956" x2="52514" y2="26157"/>
                      <a14:foregroundMark x1="67412" y1="26962" x2="40596" y2="24547"/>
                      <a14:foregroundMark x1="50279" y1="25553" x2="34264" y2="26962"/>
                      <a14:foregroundMark x1="37803" y1="26962" x2="56052" y2="26962"/>
                      <a14:foregroundMark x1="53073" y1="27565" x2="27002" y2="25755"/>
                      <a14:foregroundMark x1="27002" y1="25755" x2="29795" y2="16901"/>
                      <a14:foregroundMark x1="30354" y1="18511" x2="46369" y2="29175"/>
                      <a14:foregroundMark x1="42831" y1="28773" x2="24581" y2="27767"/>
                      <a14:foregroundMark x1="27933" y1="26962" x2="42272" y2="22334"/>
                      <a14:foregroundMark x1="51397" y1="12877" x2="61080" y2="11871"/>
                      <a14:foregroundMark x1="61080" y1="12274" x2="57728" y2="17706"/>
                      <a14:foregroundMark x1="56611" y1="7042" x2="56611" y2="5231"/>
                      <a14:foregroundMark x1="51955" y1="5835" x2="46927" y2="3823"/>
                      <a14:foregroundMark x1="44507" y1="8451" x2="70950" y2="1006"/>
                      <a14:foregroundMark x1="70950" y1="1006" x2="73743" y2="1006"/>
                      <a14:foregroundMark x1="73743" y1="3018" x2="79516" y2="19316"/>
                      <a14:foregroundMark x1="79516" y1="19316" x2="72626" y2="26157"/>
                      <a14:foregroundMark x1="40037" y1="3622" x2="25698" y2="19920"/>
                      <a14:foregroundMark x1="72067" y1="26559" x2="73184" y2="27767"/>
                      <a14:foregroundMark x1="72067" y1="26157" x2="55493" y2="27767"/>
                      <a14:foregroundMark x1="66853" y1="27767" x2="45624" y2="25553"/>
                      <a14:foregroundMark x1="59963" y1="26962" x2="72626" y2="277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71261"/>
        <a:stretch/>
      </xdr:blipFill>
      <xdr:spPr bwMode="auto">
        <a:xfrm>
          <a:off x="1873625" y="423237"/>
          <a:ext cx="1960470" cy="1015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135731</xdr:rowOff>
    </xdr:from>
    <xdr:to>
      <xdr:col>10</xdr:col>
      <xdr:colOff>1428750</xdr:colOff>
      <xdr:row>1</xdr:row>
      <xdr:rowOff>1274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F27F9B-01E2-41F4-A63F-A45E7B027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731"/>
          <a:ext cx="1428750" cy="322743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5B125D-CB8F-4863-BCE0-547CE7B3B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514475"/>
          <a:ext cx="2857500" cy="10477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 fPrint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425825</xdr:colOff>
      <xdr:row>0</xdr:row>
      <xdr:rowOff>423237</xdr:rowOff>
    </xdr:from>
    <xdr:to>
      <xdr:col>6</xdr:col>
      <xdr:colOff>33620</xdr:colOff>
      <xdr:row>6</xdr:row>
      <xdr:rowOff>76537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F025E-F4CD-4EEE-A68B-17B805DA4F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6" b="28974" l="9870" r="89758">
                      <a14:foregroundMark x1="45624" y1="12274" x2="50838" y2="16097"/>
                      <a14:foregroundMark x1="32030" y1="16298" x2="32030" y2="16298"/>
                      <a14:foregroundMark x1="33706" y1="16901" x2="37803" y2="17706"/>
                      <a14:foregroundMark x1="46927" y1="17907" x2="49162" y2="18511"/>
                      <a14:foregroundMark x1="51955" y1="18913" x2="57728" y2="19920"/>
                      <a14:foregroundMark x1="37058" y1="15091" x2="66667" y2="16901"/>
                      <a14:foregroundMark x1="66667" y1="16901" x2="61080" y2="15694"/>
                      <a14:foregroundMark x1="39479" y1="13481" x2="43389" y2="4829"/>
                      <a14:foregroundMark x1="38920" y1="6439" x2="49907" y2="23742"/>
                      <a14:foregroundMark x1="49907" y1="23742" x2="27933" y2="25956"/>
                      <a14:foregroundMark x1="31471" y1="20724" x2="38361" y2="25956"/>
                      <a14:foregroundMark x1="30912" y1="22334" x2="29050" y2="25956"/>
                      <a14:foregroundMark x1="25698" y1="25553" x2="25698" y2="25553"/>
                      <a14:foregroundMark x1="27374" y1="27163" x2="32588" y2="25956"/>
                      <a14:foregroundMark x1="25140" y1="19920" x2="42831" y2="24346"/>
                      <a14:foregroundMark x1="62197" y1="19316" x2="76536" y2="27163"/>
                      <a14:foregroundMark x1="69088" y1="23139" x2="65736" y2="12475"/>
                      <a14:foregroundMark x1="66294" y1="18310" x2="69646" y2="10060"/>
                      <a14:foregroundMark x1="66853" y1="8652" x2="72253" y2="24547"/>
                      <a14:foregroundMark x1="72253" y1="24547" x2="72067" y2="25956"/>
                      <a14:foregroundMark x1="70950" y1="25956" x2="52514" y2="26157"/>
                      <a14:foregroundMark x1="67412" y1="26962" x2="40596" y2="24547"/>
                      <a14:foregroundMark x1="50279" y1="25553" x2="34264" y2="26962"/>
                      <a14:foregroundMark x1="37803" y1="26962" x2="56052" y2="26962"/>
                      <a14:foregroundMark x1="53073" y1="27565" x2="27002" y2="25755"/>
                      <a14:foregroundMark x1="27002" y1="25755" x2="29795" y2="16901"/>
                      <a14:foregroundMark x1="30354" y1="18511" x2="46369" y2="29175"/>
                      <a14:foregroundMark x1="42831" y1="28773" x2="24581" y2="27767"/>
                      <a14:foregroundMark x1="27933" y1="26962" x2="42272" y2="22334"/>
                      <a14:foregroundMark x1="51397" y1="12877" x2="61080" y2="11871"/>
                      <a14:foregroundMark x1="61080" y1="12274" x2="57728" y2="17706"/>
                      <a14:foregroundMark x1="56611" y1="7042" x2="56611" y2="5231"/>
                      <a14:foregroundMark x1="51955" y1="5835" x2="46927" y2="3823"/>
                      <a14:foregroundMark x1="44507" y1="8451" x2="70950" y2="1006"/>
                      <a14:foregroundMark x1="70950" y1="1006" x2="73743" y2="1006"/>
                      <a14:foregroundMark x1="73743" y1="3018" x2="79516" y2="19316"/>
                      <a14:foregroundMark x1="79516" y1="19316" x2="72626" y2="26157"/>
                      <a14:foregroundMark x1="40037" y1="3622" x2="25698" y2="19920"/>
                      <a14:foregroundMark x1="72067" y1="26559" x2="73184" y2="27767"/>
                      <a14:foregroundMark x1="72067" y1="26157" x2="55493" y2="27767"/>
                      <a14:foregroundMark x1="66853" y1="27767" x2="45624" y2="25553"/>
                      <a14:foregroundMark x1="59963" y1="26962" x2="72626" y2="277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71261"/>
        <a:stretch/>
      </xdr:blipFill>
      <xdr:spPr bwMode="auto">
        <a:xfrm>
          <a:off x="1873625" y="423237"/>
          <a:ext cx="1960470" cy="1015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135731</xdr:rowOff>
    </xdr:from>
    <xdr:to>
      <xdr:col>10</xdr:col>
      <xdr:colOff>1428750</xdr:colOff>
      <xdr:row>1</xdr:row>
      <xdr:rowOff>1274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4761B9-60C8-460D-9157-67CC8629F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731"/>
          <a:ext cx="1428750" cy="322743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2547B8-E7A8-4A04-A0A8-A749C35AB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514475"/>
          <a:ext cx="2857500" cy="10477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 fPrint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425825</xdr:colOff>
      <xdr:row>0</xdr:row>
      <xdr:rowOff>423237</xdr:rowOff>
    </xdr:from>
    <xdr:to>
      <xdr:col>6</xdr:col>
      <xdr:colOff>33620</xdr:colOff>
      <xdr:row>6</xdr:row>
      <xdr:rowOff>76537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9C379-ACE5-4D29-8BF7-9F740D1B90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6" b="28974" l="9870" r="89758">
                      <a14:foregroundMark x1="45624" y1="12274" x2="50838" y2="16097"/>
                      <a14:foregroundMark x1="32030" y1="16298" x2="32030" y2="16298"/>
                      <a14:foregroundMark x1="33706" y1="16901" x2="37803" y2="17706"/>
                      <a14:foregroundMark x1="46927" y1="17907" x2="49162" y2="18511"/>
                      <a14:foregroundMark x1="51955" y1="18913" x2="57728" y2="19920"/>
                      <a14:foregroundMark x1="37058" y1="15091" x2="66667" y2="16901"/>
                      <a14:foregroundMark x1="66667" y1="16901" x2="61080" y2="15694"/>
                      <a14:foregroundMark x1="39479" y1="13481" x2="43389" y2="4829"/>
                      <a14:foregroundMark x1="38920" y1="6439" x2="49907" y2="23742"/>
                      <a14:foregroundMark x1="49907" y1="23742" x2="27933" y2="25956"/>
                      <a14:foregroundMark x1="31471" y1="20724" x2="38361" y2="25956"/>
                      <a14:foregroundMark x1="30912" y1="22334" x2="29050" y2="25956"/>
                      <a14:foregroundMark x1="25698" y1="25553" x2="25698" y2="25553"/>
                      <a14:foregroundMark x1="27374" y1="27163" x2="32588" y2="25956"/>
                      <a14:foregroundMark x1="25140" y1="19920" x2="42831" y2="24346"/>
                      <a14:foregroundMark x1="62197" y1="19316" x2="76536" y2="27163"/>
                      <a14:foregroundMark x1="69088" y1="23139" x2="65736" y2="12475"/>
                      <a14:foregroundMark x1="66294" y1="18310" x2="69646" y2="10060"/>
                      <a14:foregroundMark x1="66853" y1="8652" x2="72253" y2="24547"/>
                      <a14:foregroundMark x1="72253" y1="24547" x2="72067" y2="25956"/>
                      <a14:foregroundMark x1="70950" y1="25956" x2="52514" y2="26157"/>
                      <a14:foregroundMark x1="67412" y1="26962" x2="40596" y2="24547"/>
                      <a14:foregroundMark x1="50279" y1="25553" x2="34264" y2="26962"/>
                      <a14:foregroundMark x1="37803" y1="26962" x2="56052" y2="26962"/>
                      <a14:foregroundMark x1="53073" y1="27565" x2="27002" y2="25755"/>
                      <a14:foregroundMark x1="27002" y1="25755" x2="29795" y2="16901"/>
                      <a14:foregroundMark x1="30354" y1="18511" x2="46369" y2="29175"/>
                      <a14:foregroundMark x1="42831" y1="28773" x2="24581" y2="27767"/>
                      <a14:foregroundMark x1="27933" y1="26962" x2="42272" y2="22334"/>
                      <a14:foregroundMark x1="51397" y1="12877" x2="61080" y2="11871"/>
                      <a14:foregroundMark x1="61080" y1="12274" x2="57728" y2="17706"/>
                      <a14:foregroundMark x1="56611" y1="7042" x2="56611" y2="5231"/>
                      <a14:foregroundMark x1="51955" y1="5835" x2="46927" y2="3823"/>
                      <a14:foregroundMark x1="44507" y1="8451" x2="70950" y2="1006"/>
                      <a14:foregroundMark x1="70950" y1="1006" x2="73743" y2="1006"/>
                      <a14:foregroundMark x1="73743" y1="3018" x2="79516" y2="19316"/>
                      <a14:foregroundMark x1="79516" y1="19316" x2="72626" y2="26157"/>
                      <a14:foregroundMark x1="40037" y1="3622" x2="25698" y2="19920"/>
                      <a14:foregroundMark x1="72067" y1="26559" x2="73184" y2="27767"/>
                      <a14:foregroundMark x1="72067" y1="26157" x2="55493" y2="27767"/>
                      <a14:foregroundMark x1="66853" y1="27767" x2="45624" y2="25553"/>
                      <a14:foregroundMark x1="59963" y1="26962" x2="72626" y2="277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71261"/>
        <a:stretch/>
      </xdr:blipFill>
      <xdr:spPr bwMode="auto">
        <a:xfrm>
          <a:off x="1873625" y="423237"/>
          <a:ext cx="1960470" cy="1015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135731</xdr:rowOff>
    </xdr:from>
    <xdr:to>
      <xdr:col>10</xdr:col>
      <xdr:colOff>1428750</xdr:colOff>
      <xdr:row>1</xdr:row>
      <xdr:rowOff>1274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72B25D-1F7E-48D6-84BF-F49C95CFF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731"/>
          <a:ext cx="1428750" cy="322743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A7CF13-BD9D-40A3-8F1F-B02D21AF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514475"/>
          <a:ext cx="2857500" cy="10477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 fPrint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425825</xdr:colOff>
      <xdr:row>0</xdr:row>
      <xdr:rowOff>423237</xdr:rowOff>
    </xdr:from>
    <xdr:to>
      <xdr:col>6</xdr:col>
      <xdr:colOff>33620</xdr:colOff>
      <xdr:row>6</xdr:row>
      <xdr:rowOff>76537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7A39B-A74D-40D2-A3BF-DA4B02A3CE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6" b="28974" l="9870" r="89758">
                      <a14:foregroundMark x1="45624" y1="12274" x2="50838" y2="16097"/>
                      <a14:foregroundMark x1="32030" y1="16298" x2="32030" y2="16298"/>
                      <a14:foregroundMark x1="33706" y1="16901" x2="37803" y2="17706"/>
                      <a14:foregroundMark x1="46927" y1="17907" x2="49162" y2="18511"/>
                      <a14:foregroundMark x1="51955" y1="18913" x2="57728" y2="19920"/>
                      <a14:foregroundMark x1="37058" y1="15091" x2="66667" y2="16901"/>
                      <a14:foregroundMark x1="66667" y1="16901" x2="61080" y2="15694"/>
                      <a14:foregroundMark x1="39479" y1="13481" x2="43389" y2="4829"/>
                      <a14:foregroundMark x1="38920" y1="6439" x2="49907" y2="23742"/>
                      <a14:foregroundMark x1="49907" y1="23742" x2="27933" y2="25956"/>
                      <a14:foregroundMark x1="31471" y1="20724" x2="38361" y2="25956"/>
                      <a14:foregroundMark x1="30912" y1="22334" x2="29050" y2="25956"/>
                      <a14:foregroundMark x1="25698" y1="25553" x2="25698" y2="25553"/>
                      <a14:foregroundMark x1="27374" y1="27163" x2="32588" y2="25956"/>
                      <a14:foregroundMark x1="25140" y1="19920" x2="42831" y2="24346"/>
                      <a14:foregroundMark x1="62197" y1="19316" x2="76536" y2="27163"/>
                      <a14:foregroundMark x1="69088" y1="23139" x2="65736" y2="12475"/>
                      <a14:foregroundMark x1="66294" y1="18310" x2="69646" y2="10060"/>
                      <a14:foregroundMark x1="66853" y1="8652" x2="72253" y2="24547"/>
                      <a14:foregroundMark x1="72253" y1="24547" x2="72067" y2="25956"/>
                      <a14:foregroundMark x1="70950" y1="25956" x2="52514" y2="26157"/>
                      <a14:foregroundMark x1="67412" y1="26962" x2="40596" y2="24547"/>
                      <a14:foregroundMark x1="50279" y1="25553" x2="34264" y2="26962"/>
                      <a14:foregroundMark x1="37803" y1="26962" x2="56052" y2="26962"/>
                      <a14:foregroundMark x1="53073" y1="27565" x2="27002" y2="25755"/>
                      <a14:foregroundMark x1="27002" y1="25755" x2="29795" y2="16901"/>
                      <a14:foregroundMark x1="30354" y1="18511" x2="46369" y2="29175"/>
                      <a14:foregroundMark x1="42831" y1="28773" x2="24581" y2="27767"/>
                      <a14:foregroundMark x1="27933" y1="26962" x2="42272" y2="22334"/>
                      <a14:foregroundMark x1="51397" y1="12877" x2="61080" y2="11871"/>
                      <a14:foregroundMark x1="61080" y1="12274" x2="57728" y2="17706"/>
                      <a14:foregroundMark x1="56611" y1="7042" x2="56611" y2="5231"/>
                      <a14:foregroundMark x1="51955" y1="5835" x2="46927" y2="3823"/>
                      <a14:foregroundMark x1="44507" y1="8451" x2="70950" y2="1006"/>
                      <a14:foregroundMark x1="70950" y1="1006" x2="73743" y2="1006"/>
                      <a14:foregroundMark x1="73743" y1="3018" x2="79516" y2="19316"/>
                      <a14:foregroundMark x1="79516" y1="19316" x2="72626" y2="26157"/>
                      <a14:foregroundMark x1="40037" y1="3622" x2="25698" y2="19920"/>
                      <a14:foregroundMark x1="72067" y1="26559" x2="73184" y2="27767"/>
                      <a14:foregroundMark x1="72067" y1="26157" x2="55493" y2="27767"/>
                      <a14:foregroundMark x1="66853" y1="27767" x2="45624" y2="25553"/>
                      <a14:foregroundMark x1="59963" y1="26962" x2="72626" y2="277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71261"/>
        <a:stretch/>
      </xdr:blipFill>
      <xdr:spPr bwMode="auto">
        <a:xfrm>
          <a:off x="1873625" y="423237"/>
          <a:ext cx="1960470" cy="1015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135731</xdr:rowOff>
    </xdr:from>
    <xdr:to>
      <xdr:col>10</xdr:col>
      <xdr:colOff>1428750</xdr:colOff>
      <xdr:row>1</xdr:row>
      <xdr:rowOff>1274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218821-F247-4683-8F30-0E585027E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731"/>
          <a:ext cx="1428750" cy="322743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BA6806-A775-4603-9678-EF8770AC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514475"/>
          <a:ext cx="2857500" cy="10477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 fPrintsWithSheet="0"/>
  </xdr:oneCellAnchor>
  <xdr:twoCellAnchor editAs="oneCell">
    <xdr:from>
      <xdr:col>3</xdr:col>
      <xdr:colOff>425825</xdr:colOff>
      <xdr:row>0</xdr:row>
      <xdr:rowOff>423237</xdr:rowOff>
    </xdr:from>
    <xdr:to>
      <xdr:col>6</xdr:col>
      <xdr:colOff>33620</xdr:colOff>
      <xdr:row>6</xdr:row>
      <xdr:rowOff>76537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6A83A6-7A0A-4EE3-A810-E5A6C71756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6" b="28974" l="9870" r="89758">
                      <a14:foregroundMark x1="45624" y1="12274" x2="50838" y2="16097"/>
                      <a14:foregroundMark x1="32030" y1="16298" x2="32030" y2="16298"/>
                      <a14:foregroundMark x1="33706" y1="16901" x2="37803" y2="17706"/>
                      <a14:foregroundMark x1="46927" y1="17907" x2="49162" y2="18511"/>
                      <a14:foregroundMark x1="51955" y1="18913" x2="57728" y2="19920"/>
                      <a14:foregroundMark x1="37058" y1="15091" x2="66667" y2="16901"/>
                      <a14:foregroundMark x1="66667" y1="16901" x2="61080" y2="15694"/>
                      <a14:foregroundMark x1="39479" y1="13481" x2="43389" y2="4829"/>
                      <a14:foregroundMark x1="38920" y1="6439" x2="49907" y2="23742"/>
                      <a14:foregroundMark x1="49907" y1="23742" x2="27933" y2="25956"/>
                      <a14:foregroundMark x1="31471" y1="20724" x2="38361" y2="25956"/>
                      <a14:foregroundMark x1="30912" y1="22334" x2="29050" y2="25956"/>
                      <a14:foregroundMark x1="25698" y1="25553" x2="25698" y2="25553"/>
                      <a14:foregroundMark x1="27374" y1="27163" x2="32588" y2="25956"/>
                      <a14:foregroundMark x1="25140" y1="19920" x2="42831" y2="24346"/>
                      <a14:foregroundMark x1="62197" y1="19316" x2="76536" y2="27163"/>
                      <a14:foregroundMark x1="69088" y1="23139" x2="65736" y2="12475"/>
                      <a14:foregroundMark x1="66294" y1="18310" x2="69646" y2="10060"/>
                      <a14:foregroundMark x1="66853" y1="8652" x2="72253" y2="24547"/>
                      <a14:foregroundMark x1="72253" y1="24547" x2="72067" y2="25956"/>
                      <a14:foregroundMark x1="70950" y1="25956" x2="52514" y2="26157"/>
                      <a14:foregroundMark x1="67412" y1="26962" x2="40596" y2="24547"/>
                      <a14:foregroundMark x1="50279" y1="25553" x2="34264" y2="26962"/>
                      <a14:foregroundMark x1="37803" y1="26962" x2="56052" y2="26962"/>
                      <a14:foregroundMark x1="53073" y1="27565" x2="27002" y2="25755"/>
                      <a14:foregroundMark x1="27002" y1="25755" x2="29795" y2="16901"/>
                      <a14:foregroundMark x1="30354" y1="18511" x2="46369" y2="29175"/>
                      <a14:foregroundMark x1="42831" y1="28773" x2="24581" y2="27767"/>
                      <a14:foregroundMark x1="27933" y1="26962" x2="42272" y2="22334"/>
                      <a14:foregroundMark x1="51397" y1="12877" x2="61080" y2="11871"/>
                      <a14:foregroundMark x1="61080" y1="12274" x2="57728" y2="17706"/>
                      <a14:foregroundMark x1="56611" y1="7042" x2="56611" y2="5231"/>
                      <a14:foregroundMark x1="51955" y1="5835" x2="46927" y2="3823"/>
                      <a14:foregroundMark x1="44507" y1="8451" x2="70950" y2="1006"/>
                      <a14:foregroundMark x1="70950" y1="1006" x2="73743" y2="1006"/>
                      <a14:foregroundMark x1="73743" y1="3018" x2="79516" y2="19316"/>
                      <a14:foregroundMark x1="79516" y1="19316" x2="72626" y2="26157"/>
                      <a14:foregroundMark x1="40037" y1="3622" x2="25698" y2="19920"/>
                      <a14:foregroundMark x1="72067" y1="26559" x2="73184" y2="27767"/>
                      <a14:foregroundMark x1="72067" y1="26157" x2="55493" y2="27767"/>
                      <a14:foregroundMark x1="66853" y1="27767" x2="45624" y2="25553"/>
                      <a14:foregroundMark x1="59963" y1="26962" x2="72626" y2="277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71261"/>
        <a:stretch/>
      </xdr:blipFill>
      <xdr:spPr bwMode="auto">
        <a:xfrm>
          <a:off x="1873625" y="423237"/>
          <a:ext cx="1960470" cy="1015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135731</xdr:rowOff>
    </xdr:from>
    <xdr:to>
      <xdr:col>10</xdr:col>
      <xdr:colOff>1428750</xdr:colOff>
      <xdr:row>1</xdr:row>
      <xdr:rowOff>1274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BC03D5-E7E4-4617-95F0-D20C95BFE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731"/>
          <a:ext cx="1428750" cy="322743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7" name="Pictur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AA9CCD-8A62-4655-BCB0-32F07750C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514475"/>
          <a:ext cx="2857500" cy="10477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 fPrintsWithSheet="0"/>
  </xdr:oneCellAnchor>
  <xdr:twoCellAnchor editAs="oneCell">
    <xdr:from>
      <xdr:col>3</xdr:col>
      <xdr:colOff>425825</xdr:colOff>
      <xdr:row>0</xdr:row>
      <xdr:rowOff>423237</xdr:rowOff>
    </xdr:from>
    <xdr:to>
      <xdr:col>6</xdr:col>
      <xdr:colOff>33620</xdr:colOff>
      <xdr:row>6</xdr:row>
      <xdr:rowOff>76537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2D3587-EC9A-42A4-AF60-90FB609A62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6" b="28974" l="9870" r="89758">
                      <a14:foregroundMark x1="45624" y1="12274" x2="50838" y2="16097"/>
                      <a14:foregroundMark x1="32030" y1="16298" x2="32030" y2="16298"/>
                      <a14:foregroundMark x1="33706" y1="16901" x2="37803" y2="17706"/>
                      <a14:foregroundMark x1="46927" y1="17907" x2="49162" y2="18511"/>
                      <a14:foregroundMark x1="51955" y1="18913" x2="57728" y2="19920"/>
                      <a14:foregroundMark x1="37058" y1="15091" x2="66667" y2="16901"/>
                      <a14:foregroundMark x1="66667" y1="16901" x2="61080" y2="15694"/>
                      <a14:foregroundMark x1="39479" y1="13481" x2="43389" y2="4829"/>
                      <a14:foregroundMark x1="38920" y1="6439" x2="49907" y2="23742"/>
                      <a14:foregroundMark x1="49907" y1="23742" x2="27933" y2="25956"/>
                      <a14:foregroundMark x1="31471" y1="20724" x2="38361" y2="25956"/>
                      <a14:foregroundMark x1="30912" y1="22334" x2="29050" y2="25956"/>
                      <a14:foregroundMark x1="25698" y1="25553" x2="25698" y2="25553"/>
                      <a14:foregroundMark x1="27374" y1="27163" x2="32588" y2="25956"/>
                      <a14:foregroundMark x1="25140" y1="19920" x2="42831" y2="24346"/>
                      <a14:foregroundMark x1="62197" y1="19316" x2="76536" y2="27163"/>
                      <a14:foregroundMark x1="69088" y1="23139" x2="65736" y2="12475"/>
                      <a14:foregroundMark x1="66294" y1="18310" x2="69646" y2="10060"/>
                      <a14:foregroundMark x1="66853" y1="8652" x2="72253" y2="24547"/>
                      <a14:foregroundMark x1="72253" y1="24547" x2="72067" y2="25956"/>
                      <a14:foregroundMark x1="70950" y1="25956" x2="52514" y2="26157"/>
                      <a14:foregroundMark x1="67412" y1="26962" x2="40596" y2="24547"/>
                      <a14:foregroundMark x1="50279" y1="25553" x2="34264" y2="26962"/>
                      <a14:foregroundMark x1="37803" y1="26962" x2="56052" y2="26962"/>
                      <a14:foregroundMark x1="53073" y1="27565" x2="27002" y2="25755"/>
                      <a14:foregroundMark x1="27002" y1="25755" x2="29795" y2="16901"/>
                      <a14:foregroundMark x1="30354" y1="18511" x2="46369" y2="29175"/>
                      <a14:foregroundMark x1="42831" y1="28773" x2="24581" y2="27767"/>
                      <a14:foregroundMark x1="27933" y1="26962" x2="42272" y2="22334"/>
                      <a14:foregroundMark x1="51397" y1="12877" x2="61080" y2="11871"/>
                      <a14:foregroundMark x1="61080" y1="12274" x2="57728" y2="17706"/>
                      <a14:foregroundMark x1="56611" y1="7042" x2="56611" y2="5231"/>
                      <a14:foregroundMark x1="51955" y1="5835" x2="46927" y2="3823"/>
                      <a14:foregroundMark x1="44507" y1="8451" x2="70950" y2="1006"/>
                      <a14:foregroundMark x1="70950" y1="1006" x2="73743" y2="1006"/>
                      <a14:foregroundMark x1="73743" y1="3018" x2="79516" y2="19316"/>
                      <a14:foregroundMark x1="79516" y1="19316" x2="72626" y2="26157"/>
                      <a14:foregroundMark x1="40037" y1="3622" x2="25698" y2="19920"/>
                      <a14:foregroundMark x1="72067" y1="26559" x2="73184" y2="27767"/>
                      <a14:foregroundMark x1="72067" y1="26157" x2="55493" y2="27767"/>
                      <a14:foregroundMark x1="66853" y1="27767" x2="45624" y2="25553"/>
                      <a14:foregroundMark x1="59963" y1="26962" x2="72626" y2="277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" b="71261"/>
        <a:stretch/>
      </xdr:blipFill>
      <xdr:spPr bwMode="auto">
        <a:xfrm>
          <a:off x="1873625" y="423237"/>
          <a:ext cx="1960470" cy="1015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0</xdr:colOff>
      <xdr:row>0</xdr:row>
      <xdr:rowOff>135731</xdr:rowOff>
    </xdr:from>
    <xdr:to>
      <xdr:col>10</xdr:col>
      <xdr:colOff>1428750</xdr:colOff>
      <xdr:row>1</xdr:row>
      <xdr:rowOff>1274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4014B2A-D757-4E6B-B9FB-88FB38DE9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35731"/>
          <a:ext cx="1428750" cy="322743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6</xdr:row>
      <xdr:rowOff>152400</xdr:rowOff>
    </xdr:from>
    <xdr:ext cx="2857500" cy="1047750"/>
    <xdr:pic>
      <xdr:nvPicPr>
        <xdr:cNvPr id="10" name="Pictur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8B9941-230F-4D56-80AB-415DA87B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1514475"/>
          <a:ext cx="2857500" cy="10477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 fPrintsWithSheet="0"/>
  </xdr:oneCellAnchor>
</xdr:wsDr>
</file>

<file path=xl/theme/theme1.xml><?xml version="1.0" encoding="utf-8"?>
<a:theme xmlns:a="http://schemas.openxmlformats.org/drawingml/2006/main" name="Office Theme">
  <a:themeElements>
    <a:clrScheme name="Vertex42 - Gray - Dar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92929"/>
      </a:accent1>
      <a:accent2>
        <a:srgbClr val="C0504D"/>
      </a:accent2>
      <a:accent3>
        <a:srgbClr val="9BBB59"/>
      </a:accent3>
      <a:accent4>
        <a:srgbClr val="8064A2"/>
      </a:accent4>
      <a:accent5>
        <a:srgbClr val="4F81BD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rtex42.com/ExcelTemplates/quote-template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vertex42.com/ExcelTemplates/quote-templat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vertex42.com/ExcelTemplates/quote-template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vertex42.com/ExcelTemplates/quote-template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vertex42.com/ExcelTemplates/quote-template.html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../Hamzah/Resit/invoice%20centrack.pdf" TargetMode="External"/><Relationship Id="rId18" Type="http://schemas.openxmlformats.org/officeDocument/2006/relationships/hyperlink" Target="../Hamzah/Resit/Audio%20Splitter%2054.9.pdf" TargetMode="External"/><Relationship Id="rId26" Type="http://schemas.openxmlformats.org/officeDocument/2006/relationships/hyperlink" Target="../Hamzah/Resit/cat6%20plug%20usb%20lock%2090.jpg" TargetMode="External"/><Relationship Id="rId39" Type="http://schemas.openxmlformats.org/officeDocument/2006/relationships/hyperlink" Target="../Hamzah/Resit/Hardware%20wiring%204%20105.jpeg" TargetMode="External"/><Relationship Id="rId21" Type="http://schemas.openxmlformats.org/officeDocument/2006/relationships/hyperlink" Target="../Hamzah/Resit/socar%2034.64.pdf" TargetMode="External"/><Relationship Id="rId34" Type="http://schemas.openxmlformats.org/officeDocument/2006/relationships/hyperlink" Target="../Hamzah/Resit/cable%20hdmi%20180.jpg" TargetMode="External"/><Relationship Id="rId42" Type="http://schemas.openxmlformats.org/officeDocument/2006/relationships/hyperlink" Target="../Hamzah/Resit/Hakim.pdf" TargetMode="External"/><Relationship Id="rId7" Type="http://schemas.openxmlformats.org/officeDocument/2006/relationships/hyperlink" Target="../Hamzah/Resit/nvr%20camera%20imam%201480.jpg" TargetMode="External"/><Relationship Id="rId2" Type="http://schemas.openxmlformats.org/officeDocument/2006/relationships/hyperlink" Target="../Hamzah/Resit/invoice%20PTZ%20Dahua.pdf" TargetMode="External"/><Relationship Id="rId16" Type="http://schemas.openxmlformats.org/officeDocument/2006/relationships/hyperlink" Target="../Hamzah/Resit/hdmi%20splitter%2060.84.jpg" TargetMode="External"/><Relationship Id="rId20" Type="http://schemas.openxmlformats.org/officeDocument/2006/relationships/hyperlink" Target="../Hamzah/Resit/Label%20printer%2083.79.pdf" TargetMode="External"/><Relationship Id="rId29" Type="http://schemas.openxmlformats.org/officeDocument/2006/relationships/hyperlink" Target="../Hamzah/Resit/Keyboard%20n%20mouse%2067.jpg" TargetMode="External"/><Relationship Id="rId41" Type="http://schemas.openxmlformats.org/officeDocument/2006/relationships/hyperlink" Target="../Hamzah/Resit/design%20300.pdf" TargetMode="External"/><Relationship Id="rId1" Type="http://schemas.openxmlformats.org/officeDocument/2006/relationships/hyperlink" Target="../Hamzah/Resit/invoice%20PTZ%20Dahua.pdf" TargetMode="External"/><Relationship Id="rId6" Type="http://schemas.openxmlformats.org/officeDocument/2006/relationships/hyperlink" Target="../Hamzah/Resit/cable%20cat6%201340.jpg" TargetMode="External"/><Relationship Id="rId11" Type="http://schemas.openxmlformats.org/officeDocument/2006/relationships/hyperlink" Target="../Hamzah/Resit/TV%20Bracket%20874.65.pdf" TargetMode="External"/><Relationship Id="rId24" Type="http://schemas.openxmlformats.org/officeDocument/2006/relationships/hyperlink" Target="../Hamzah/Resit/windows%205.pdf" TargetMode="External"/><Relationship Id="rId32" Type="http://schemas.openxmlformats.org/officeDocument/2006/relationships/hyperlink" Target="../Hamzah/Resit/plug%2010pcs%20casing%20plate%2055.jpg" TargetMode="External"/><Relationship Id="rId37" Type="http://schemas.openxmlformats.org/officeDocument/2006/relationships/hyperlink" Target="../Hamzah/Resit/Hardware%20wiring%202%205.jpeg" TargetMode="External"/><Relationship Id="rId40" Type="http://schemas.openxmlformats.org/officeDocument/2006/relationships/hyperlink" Target="../Hamzah/Resit/Hardware%20wiring%205%2059.jpeg" TargetMode="External"/><Relationship Id="rId5" Type="http://schemas.openxmlformats.org/officeDocument/2006/relationships/hyperlink" Target="../Hamzah/Resit/cable%20cat6%201340.jpg" TargetMode="External"/><Relationship Id="rId15" Type="http://schemas.openxmlformats.org/officeDocument/2006/relationships/hyperlink" Target="../Hamzah/Resit/LAN%20Connector%2019.jpg" TargetMode="External"/><Relationship Id="rId23" Type="http://schemas.openxmlformats.org/officeDocument/2006/relationships/hyperlink" Target="../Hamzah/Resit/Stand%20TV%20pejabat%20292.4.jpg" TargetMode="External"/><Relationship Id="rId28" Type="http://schemas.openxmlformats.org/officeDocument/2006/relationships/hyperlink" Target="../Hamzah/Resit/mouse%20type%20c%20adapter%2039.jpg" TargetMode="External"/><Relationship Id="rId36" Type="http://schemas.openxmlformats.org/officeDocument/2006/relationships/hyperlink" Target="../Hamzah/Resit/Hardware%20wiring%201%2051.8.jpeg" TargetMode="External"/><Relationship Id="rId10" Type="http://schemas.openxmlformats.org/officeDocument/2006/relationships/hyperlink" Target="../Hamzah/Resit/aten%20switch%20n%20aten%20splitter%20730.9.jpg" TargetMode="External"/><Relationship Id="rId19" Type="http://schemas.openxmlformats.org/officeDocument/2006/relationships/hyperlink" Target="../Hamzah/Resit/usb%20lock%2039.7.jpg" TargetMode="External"/><Relationship Id="rId31" Type="http://schemas.openxmlformats.org/officeDocument/2006/relationships/hyperlink" Target="../Hamzah/Resit/eco%20(%20cable%20tight%20jarum%20kertas%20pasir%20)%2019.2.jpg" TargetMode="External"/><Relationship Id="rId4" Type="http://schemas.openxmlformats.org/officeDocument/2006/relationships/hyperlink" Target="../Hamzah/Resit/tv%20samsung%2011562.jpg" TargetMode="External"/><Relationship Id="rId9" Type="http://schemas.openxmlformats.org/officeDocument/2006/relationships/hyperlink" Target="../Hamzah/Resit/hdmi%20extender%20981.6.pdf" TargetMode="External"/><Relationship Id="rId14" Type="http://schemas.openxmlformats.org/officeDocument/2006/relationships/hyperlink" Target="../Hamzah/Resit/JVA02%20video%20capture%20306.9.jpg" TargetMode="External"/><Relationship Id="rId22" Type="http://schemas.openxmlformats.org/officeDocument/2006/relationships/hyperlink" Target="../Hamzah/Resit/hdmi%20receiver%20pejabat%20190.9.jpg" TargetMode="External"/><Relationship Id="rId27" Type="http://schemas.openxmlformats.org/officeDocument/2006/relationships/hyperlink" Target="../Hamzah/Resit/Keelat%20Nail%20Gun%20253.pdf" TargetMode="External"/><Relationship Id="rId30" Type="http://schemas.openxmlformats.org/officeDocument/2006/relationships/hyperlink" Target="../Hamzah/Resit/Label%20cable%2031.94.jpg" TargetMode="External"/><Relationship Id="rId35" Type="http://schemas.openxmlformats.org/officeDocument/2006/relationships/hyperlink" Target="../Hamzah/Resit/cable%20hdmi%20audio%20370.jpg" TargetMode="External"/><Relationship Id="rId43" Type="http://schemas.openxmlformats.org/officeDocument/2006/relationships/printerSettings" Target="../printerSettings/printerSettings6.bin"/><Relationship Id="rId8" Type="http://schemas.openxmlformats.org/officeDocument/2006/relationships/hyperlink" Target="../Hamzah/Resit/nvr%20camera%20imam%201480.jpg" TargetMode="External"/><Relationship Id="rId3" Type="http://schemas.openxmlformats.org/officeDocument/2006/relationships/hyperlink" Target="../Hamzah/Resit/invoice%20PTZ%20Dahua.pdf" TargetMode="External"/><Relationship Id="rId12" Type="http://schemas.openxmlformats.org/officeDocument/2006/relationships/hyperlink" Target="../Hamzah/Resit/hard%20disk%20347.jpg" TargetMode="External"/><Relationship Id="rId17" Type="http://schemas.openxmlformats.org/officeDocument/2006/relationships/hyperlink" Target="../Hamzah/Resit/Onten%20Video%20Capture%2051.7.pdf" TargetMode="External"/><Relationship Id="rId25" Type="http://schemas.openxmlformats.org/officeDocument/2006/relationships/hyperlink" Target="../Hamzah/Resit/RJ45%20Crimp%20tool%2068.9.pdf" TargetMode="External"/><Relationship Id="rId33" Type="http://schemas.openxmlformats.org/officeDocument/2006/relationships/hyperlink" Target="../Hamzah/Resit/plug%20casing%20half%20moon%20nail%20cable%20wrap%20extension%20plug%20112.jpg" TargetMode="External"/><Relationship Id="rId38" Type="http://schemas.openxmlformats.org/officeDocument/2006/relationships/hyperlink" Target="../Hamzah/Resit/Hardware%20wiring%203%2035.5.jpe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vertex42.com/ExcelTemplates/quote-template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vertex42.com/ExcelTemplates/quote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4"/>
  <sheetViews>
    <sheetView showGridLines="0" tabSelected="1" showRuler="0" view="pageBreakPreview" zoomScale="115" zoomScaleNormal="80" zoomScaleSheetLayoutView="115" zoomScalePageLayoutView="70" workbookViewId="0">
      <selection activeCell="K19" sqref="K19"/>
    </sheetView>
  </sheetViews>
  <sheetFormatPr defaultRowHeight="14.25" x14ac:dyDescent="0.2"/>
  <cols>
    <col min="1" max="1" width="3.375" style="111" customWidth="1"/>
    <col min="2" max="2" width="3" customWidth="1"/>
    <col min="3" max="3" width="12.625" customWidth="1"/>
    <col min="4" max="4" width="17.625" customWidth="1"/>
    <col min="5" max="7" width="6.625" customWidth="1"/>
    <col min="8" max="8" width="12.625" customWidth="1"/>
    <col min="9" max="9" width="17.625" customWidth="1"/>
    <col min="11" max="11" width="22.375" customWidth="1"/>
    <col min="12" max="12" width="13.375" bestFit="1" customWidth="1"/>
    <col min="13" max="13" width="11.375" customWidth="1"/>
    <col min="14" max="14" width="11.5" customWidth="1"/>
  </cols>
  <sheetData>
    <row r="1" spans="1:11" ht="36" x14ac:dyDescent="0.2">
      <c r="A1" s="8" t="s">
        <v>16</v>
      </c>
      <c r="B1" s="8"/>
      <c r="C1" s="8"/>
      <c r="D1" s="8"/>
      <c r="E1" s="8"/>
      <c r="F1" s="3"/>
      <c r="H1" s="7"/>
      <c r="I1" s="18" t="s">
        <v>6</v>
      </c>
    </row>
    <row r="2" spans="1:11" x14ac:dyDescent="0.2">
      <c r="A2" s="127" t="s">
        <v>17</v>
      </c>
      <c r="B2" s="127"/>
      <c r="C2" s="127"/>
      <c r="D2" s="127"/>
      <c r="E2" s="127"/>
      <c r="F2" s="9"/>
      <c r="G2" s="2"/>
      <c r="H2" s="10"/>
      <c r="I2" s="10"/>
      <c r="K2" s="1" t="s">
        <v>11</v>
      </c>
    </row>
    <row r="3" spans="1:11" x14ac:dyDescent="0.2">
      <c r="A3" s="127" t="s">
        <v>18</v>
      </c>
      <c r="B3" s="127"/>
      <c r="C3" s="127"/>
      <c r="D3" s="127"/>
      <c r="E3" s="2"/>
      <c r="F3" s="9"/>
      <c r="K3" s="17" t="s">
        <v>10</v>
      </c>
    </row>
    <row r="4" spans="1:11" x14ac:dyDescent="0.2">
      <c r="A4" s="127" t="s">
        <v>19</v>
      </c>
      <c r="B4" s="127"/>
      <c r="C4" s="127"/>
      <c r="D4" s="127"/>
      <c r="E4" s="2"/>
      <c r="F4" s="9"/>
      <c r="G4" s="122" t="s">
        <v>186</v>
      </c>
      <c r="H4" s="122"/>
      <c r="I4" s="15" t="s">
        <v>0</v>
      </c>
      <c r="K4" s="1"/>
    </row>
    <row r="5" spans="1:11" x14ac:dyDescent="0.2">
      <c r="A5" s="132" t="s">
        <v>20</v>
      </c>
      <c r="B5" s="132"/>
      <c r="C5" s="132"/>
      <c r="D5" s="132"/>
      <c r="E5" s="2"/>
      <c r="F5" s="9"/>
      <c r="G5" s="131">
        <v>3118</v>
      </c>
      <c r="H5" s="131"/>
      <c r="I5" s="13">
        <v>46064</v>
      </c>
      <c r="K5" s="6" t="s">
        <v>3</v>
      </c>
    </row>
    <row r="6" spans="1:11" x14ac:dyDescent="0.2">
      <c r="A6" s="127" t="s">
        <v>21</v>
      </c>
      <c r="B6" s="127"/>
      <c r="C6" s="127"/>
      <c r="D6" s="127"/>
      <c r="E6" s="2"/>
      <c r="F6" s="9"/>
      <c r="G6" s="129"/>
      <c r="H6" s="129"/>
      <c r="I6" s="96"/>
      <c r="K6" s="6"/>
    </row>
    <row r="7" spans="1:11" x14ac:dyDescent="0.2">
      <c r="B7" s="2"/>
      <c r="C7" s="2"/>
      <c r="D7" s="2"/>
      <c r="E7" s="2"/>
      <c r="F7" s="9"/>
      <c r="G7" s="130"/>
      <c r="H7" s="130"/>
      <c r="I7" s="21"/>
      <c r="K7" s="1"/>
    </row>
    <row r="8" spans="1:11" ht="13.5" hidden="1" customHeight="1" x14ac:dyDescent="0.2">
      <c r="B8" s="2"/>
      <c r="C8" s="2"/>
      <c r="D8" s="2"/>
      <c r="E8" s="2"/>
      <c r="F8" s="9"/>
      <c r="G8" s="20"/>
      <c r="H8" s="20"/>
      <c r="I8" s="21"/>
      <c r="K8" s="1"/>
    </row>
    <row r="9" spans="1:11" ht="20.100000000000001" customHeight="1" x14ac:dyDescent="0.2">
      <c r="A9" s="133" t="s">
        <v>29</v>
      </c>
      <c r="B9" s="134"/>
      <c r="C9" s="134"/>
      <c r="D9" s="134"/>
      <c r="E9" s="9"/>
      <c r="H9" s="22" t="s">
        <v>187</v>
      </c>
      <c r="I9" s="25"/>
      <c r="K9" s="5"/>
    </row>
    <row r="10" spans="1:11" ht="14.25" customHeight="1" x14ac:dyDescent="0.2">
      <c r="A10" s="141" t="s">
        <v>189</v>
      </c>
      <c r="B10" s="141"/>
      <c r="C10" s="141"/>
      <c r="D10" s="141"/>
      <c r="E10" s="9"/>
      <c r="H10" s="22"/>
      <c r="I10" s="25"/>
      <c r="K10" s="5"/>
    </row>
    <row r="11" spans="1:11" x14ac:dyDescent="0.2">
      <c r="A11" s="141"/>
      <c r="B11" s="141"/>
      <c r="C11" s="141"/>
      <c r="D11" s="141"/>
      <c r="E11" s="9"/>
      <c r="H11" s="22"/>
      <c r="I11" s="25"/>
      <c r="K11" s="5"/>
    </row>
    <row r="12" spans="1:11" x14ac:dyDescent="0.2">
      <c r="A12" s="141"/>
      <c r="B12" s="141"/>
      <c r="C12" s="141"/>
      <c r="D12" s="141"/>
      <c r="E12" s="9"/>
    </row>
    <row r="13" spans="1:11" ht="10.5" customHeight="1" x14ac:dyDescent="0.2">
      <c r="A13" s="141"/>
      <c r="B13" s="141"/>
      <c r="C13" s="141"/>
      <c r="D13" s="141"/>
      <c r="E13" s="9"/>
    </row>
    <row r="14" spans="1:11" x14ac:dyDescent="0.2">
      <c r="A14" s="132" t="s">
        <v>190</v>
      </c>
      <c r="B14" s="132"/>
      <c r="C14" s="132"/>
      <c r="D14" s="132"/>
      <c r="E14" s="2"/>
      <c r="F14" s="2"/>
    </row>
    <row r="15" spans="1:11" ht="3" customHeight="1" x14ac:dyDescent="0.2">
      <c r="B15" s="9"/>
      <c r="C15" s="9"/>
      <c r="D15" s="9"/>
      <c r="E15" s="9"/>
      <c r="F15" s="2"/>
      <c r="G15" s="2"/>
      <c r="H15" s="2"/>
      <c r="I15" s="2"/>
      <c r="K15" s="5"/>
    </row>
    <row r="16" spans="1:11" ht="20.100000000000001" customHeight="1" x14ac:dyDescent="0.2">
      <c r="A16" s="27" t="s">
        <v>31</v>
      </c>
      <c r="B16" s="135" t="s">
        <v>30</v>
      </c>
      <c r="C16" s="136"/>
      <c r="D16" s="136"/>
      <c r="E16" s="136"/>
      <c r="F16" s="137"/>
      <c r="G16" s="15" t="s">
        <v>34</v>
      </c>
      <c r="H16" s="15" t="s">
        <v>32</v>
      </c>
      <c r="I16" s="15" t="s">
        <v>33</v>
      </c>
      <c r="K16" s="5"/>
    </row>
    <row r="17" spans="1:11" ht="11.25" customHeight="1" x14ac:dyDescent="0.2">
      <c r="A17" s="195"/>
      <c r="B17" s="138"/>
      <c r="C17" s="139"/>
      <c r="D17" s="139"/>
      <c r="E17" s="139"/>
      <c r="F17" s="140"/>
      <c r="G17" s="40"/>
      <c r="H17" s="11"/>
      <c r="I17" s="24"/>
      <c r="K17" s="6"/>
    </row>
    <row r="18" spans="1:11" ht="28.5" customHeight="1" x14ac:dyDescent="0.2">
      <c r="A18" s="196"/>
      <c r="B18" s="123" t="s">
        <v>191</v>
      </c>
      <c r="C18" s="124"/>
      <c r="D18" s="124"/>
      <c r="E18" s="124"/>
      <c r="F18" s="125"/>
      <c r="G18" s="12"/>
      <c r="H18" s="113"/>
      <c r="I18" s="114"/>
      <c r="J18" s="16"/>
      <c r="K18" s="6"/>
    </row>
    <row r="19" spans="1:11" ht="5.25" customHeight="1" x14ac:dyDescent="0.2">
      <c r="A19" s="196"/>
      <c r="B19" s="35"/>
      <c r="C19" s="46"/>
      <c r="D19" s="46"/>
      <c r="E19" s="46"/>
      <c r="F19" s="36"/>
      <c r="G19" s="12"/>
      <c r="H19" s="113"/>
      <c r="I19" s="114"/>
      <c r="J19" s="16"/>
      <c r="K19" s="6"/>
    </row>
    <row r="20" spans="1:11" ht="47.25" customHeight="1" x14ac:dyDescent="0.2">
      <c r="A20" s="197">
        <v>1</v>
      </c>
      <c r="B20" s="126" t="s">
        <v>192</v>
      </c>
      <c r="C20" s="127"/>
      <c r="D20" s="127"/>
      <c r="E20" s="127"/>
      <c r="F20" s="128"/>
      <c r="G20" s="12">
        <v>1</v>
      </c>
      <c r="H20" s="113">
        <v>3500</v>
      </c>
      <c r="I20" s="114">
        <f t="shared" ref="I20" si="0">SUM(H20*G20)</f>
        <v>3500</v>
      </c>
      <c r="J20" s="112">
        <v>1500</v>
      </c>
      <c r="K20" s="6"/>
    </row>
    <row r="21" spans="1:11" ht="14.25" customHeight="1" x14ac:dyDescent="0.2">
      <c r="A21" s="197">
        <v>2</v>
      </c>
      <c r="B21" s="126" t="s">
        <v>188</v>
      </c>
      <c r="C21" s="141"/>
      <c r="D21" s="141"/>
      <c r="E21" s="141"/>
      <c r="F21" s="153"/>
      <c r="G21" s="12">
        <v>1</v>
      </c>
      <c r="H21" s="11">
        <v>150</v>
      </c>
      <c r="I21" s="114">
        <f>SUM(H21*G21)</f>
        <v>150</v>
      </c>
      <c r="J21" s="112">
        <v>200</v>
      </c>
      <c r="K21" s="5"/>
    </row>
    <row r="22" spans="1:11" ht="14.25" customHeight="1" x14ac:dyDescent="0.2">
      <c r="A22" s="198"/>
      <c r="B22" s="119"/>
      <c r="C22" s="120"/>
      <c r="D22" s="120"/>
      <c r="E22" s="120"/>
      <c r="F22" s="121"/>
      <c r="G22" s="12"/>
      <c r="H22" s="11"/>
      <c r="I22" s="24"/>
      <c r="J22" s="112"/>
      <c r="K22" s="5"/>
    </row>
    <row r="23" spans="1:11" s="4" customFormat="1" ht="27.95" customHeight="1" x14ac:dyDescent="0.2">
      <c r="A23" s="199"/>
      <c r="B23" s="145" t="s">
        <v>2</v>
      </c>
      <c r="C23" s="146"/>
      <c r="D23" s="146"/>
      <c r="E23" s="146"/>
      <c r="F23" s="147"/>
      <c r="G23" s="143" t="s">
        <v>13</v>
      </c>
      <c r="H23" s="144"/>
      <c r="I23" s="26">
        <f>SUM(I17:I22)</f>
        <v>3650</v>
      </c>
      <c r="K23" s="6" t="s">
        <v>1</v>
      </c>
    </row>
    <row r="24" spans="1:11" ht="24" customHeight="1" x14ac:dyDescent="0.2">
      <c r="B24" s="10"/>
      <c r="C24" s="10"/>
      <c r="D24" s="10"/>
      <c r="E24" s="10"/>
      <c r="F24" s="10"/>
      <c r="G24" s="149" t="s">
        <v>14</v>
      </c>
      <c r="H24" s="150"/>
      <c r="I24" s="117">
        <v>0</v>
      </c>
      <c r="K24" s="6" t="s">
        <v>15</v>
      </c>
    </row>
    <row r="25" spans="1:11" ht="24" customHeight="1" x14ac:dyDescent="0.2">
      <c r="B25" s="10"/>
      <c r="C25" s="10"/>
      <c r="D25" s="10"/>
      <c r="E25" s="10"/>
      <c r="F25" s="10"/>
      <c r="G25" s="151" t="s">
        <v>12</v>
      </c>
      <c r="H25" s="152"/>
      <c r="I25" s="118">
        <f>I23+I24</f>
        <v>3650</v>
      </c>
    </row>
    <row r="26" spans="1:11" ht="24" customHeight="1" x14ac:dyDescent="0.2">
      <c r="B26" s="10"/>
      <c r="C26" s="10"/>
      <c r="D26" s="10"/>
      <c r="E26" s="10"/>
      <c r="F26" s="10"/>
      <c r="G26" s="115"/>
      <c r="H26" s="115"/>
      <c r="I26" s="116"/>
    </row>
    <row r="27" spans="1:11" ht="14.25" customHeight="1" x14ac:dyDescent="0.2">
      <c r="B27" s="148" t="s">
        <v>70</v>
      </c>
      <c r="C27" s="148"/>
      <c r="D27" s="148"/>
      <c r="E27" s="148"/>
      <c r="F27" s="148"/>
      <c r="G27" s="148"/>
      <c r="H27" s="148"/>
      <c r="I27" s="148"/>
      <c r="K27" s="6" t="s">
        <v>5</v>
      </c>
    </row>
    <row r="28" spans="1:11" ht="14.25" customHeight="1" x14ac:dyDescent="0.2">
      <c r="B28" s="148"/>
      <c r="C28" s="148"/>
      <c r="D28" s="148"/>
      <c r="E28" s="148"/>
      <c r="F28" s="148"/>
      <c r="G28" s="148"/>
      <c r="H28" s="148"/>
      <c r="I28" s="148"/>
      <c r="K28" s="6"/>
    </row>
    <row r="29" spans="1:11" x14ac:dyDescent="0.2">
      <c r="B29" t="s">
        <v>71</v>
      </c>
    </row>
    <row r="30" spans="1:11" ht="14.25" customHeight="1" x14ac:dyDescent="0.2">
      <c r="B30" s="41"/>
      <c r="C30" s="41"/>
      <c r="D30" s="41"/>
      <c r="E30" s="41"/>
      <c r="F30" s="41"/>
      <c r="G30" s="41"/>
      <c r="H30" s="41"/>
      <c r="I30" s="41"/>
    </row>
    <row r="31" spans="1:11" x14ac:dyDescent="0.2">
      <c r="B31" s="23"/>
    </row>
    <row r="32" spans="1:11" ht="116.25" customHeight="1" x14ac:dyDescent="0.2">
      <c r="B32" s="10"/>
      <c r="C32" s="10"/>
      <c r="D32" s="10"/>
      <c r="E32" s="10"/>
      <c r="F32" s="10"/>
      <c r="G32" s="142" t="s">
        <v>73</v>
      </c>
      <c r="H32" s="142"/>
      <c r="I32" s="142"/>
    </row>
    <row r="33" spans="2:11" x14ac:dyDescent="0.2">
      <c r="B33" s="10"/>
      <c r="C33" s="10"/>
      <c r="D33" s="10"/>
      <c r="E33" s="10"/>
      <c r="F33" s="10"/>
      <c r="G33" s="142"/>
      <c r="H33" s="142"/>
      <c r="I33" s="142"/>
      <c r="K33" s="6" t="s">
        <v>4</v>
      </c>
    </row>
    <row r="34" spans="2:11" x14ac:dyDescent="0.2">
      <c r="B34" s="42"/>
      <c r="C34" s="42"/>
      <c r="D34" s="42"/>
      <c r="E34" s="42"/>
      <c r="F34" s="42"/>
      <c r="G34" s="42"/>
      <c r="H34" s="42"/>
      <c r="I34" s="42"/>
      <c r="K34" s="6"/>
    </row>
  </sheetData>
  <mergeCells count="23">
    <mergeCell ref="B21:F21"/>
    <mergeCell ref="G32:I33"/>
    <mergeCell ref="G23:H23"/>
    <mergeCell ref="B23:F23"/>
    <mergeCell ref="B27:I28"/>
    <mergeCell ref="G24:H24"/>
    <mergeCell ref="G25:H25"/>
    <mergeCell ref="A2:E2"/>
    <mergeCell ref="A3:D3"/>
    <mergeCell ref="A4:D4"/>
    <mergeCell ref="A5:D5"/>
    <mergeCell ref="A9:D9"/>
    <mergeCell ref="A6:D6"/>
    <mergeCell ref="G4:H4"/>
    <mergeCell ref="B18:F18"/>
    <mergeCell ref="B20:F20"/>
    <mergeCell ref="G6:H6"/>
    <mergeCell ref="G7:H7"/>
    <mergeCell ref="G5:H5"/>
    <mergeCell ref="B16:F16"/>
    <mergeCell ref="B17:F17"/>
    <mergeCell ref="A10:D13"/>
    <mergeCell ref="A14:D14"/>
  </mergeCells>
  <phoneticPr fontId="40" type="noConversion"/>
  <hyperlinks>
    <hyperlink ref="K3" r:id="rId1" display="https://www.vertex42.com/ExcelTemplates/quote-template.html" xr:uid="{00000000-0004-0000-0000-000000000000}"/>
  </hyperlinks>
  <printOptions horizontalCentered="1"/>
  <pageMargins left="0.5" right="0.5" top="0.5" bottom="0.5" header="0.5" footer="0.25"/>
  <pageSetup scale="85" fitToWidth="0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88DA-7F71-4ED3-A664-9C7B2922FB06}">
  <dimension ref="A1:R139"/>
  <sheetViews>
    <sheetView showGridLines="0" showRuler="0" zoomScale="87" zoomScaleNormal="87" zoomScalePageLayoutView="70" workbookViewId="0">
      <selection activeCell="I41" sqref="I41:I45"/>
    </sheetView>
  </sheetViews>
  <sheetFormatPr defaultRowHeight="14.25" x14ac:dyDescent="0.2"/>
  <cols>
    <col min="1" max="1" width="3.375" customWidth="1"/>
    <col min="2" max="2" width="3" customWidth="1"/>
    <col min="3" max="3" width="12.625" customWidth="1"/>
    <col min="4" max="4" width="17.625" customWidth="1"/>
    <col min="5" max="7" width="6.625" customWidth="1"/>
    <col min="8" max="8" width="12.625" customWidth="1"/>
    <col min="9" max="9" width="17.625" customWidth="1"/>
    <col min="11" max="11" width="22.375" customWidth="1"/>
    <col min="12" max="12" width="13.375" bestFit="1" customWidth="1"/>
    <col min="13" max="13" width="11.375" customWidth="1"/>
    <col min="14" max="14" width="11.5" customWidth="1"/>
  </cols>
  <sheetData>
    <row r="1" spans="1:11" ht="36" x14ac:dyDescent="0.2">
      <c r="A1" s="8" t="s">
        <v>16</v>
      </c>
      <c r="C1" s="8"/>
      <c r="D1" s="8"/>
      <c r="E1" s="8"/>
      <c r="F1" s="3"/>
      <c r="H1" s="7"/>
      <c r="I1" s="18" t="s">
        <v>6</v>
      </c>
    </row>
    <row r="2" spans="1:11" x14ac:dyDescent="0.2">
      <c r="A2" s="9" t="s">
        <v>17</v>
      </c>
      <c r="C2" s="9"/>
      <c r="D2" s="9"/>
      <c r="E2" s="2"/>
      <c r="F2" s="9"/>
      <c r="G2" s="2"/>
      <c r="H2" s="10"/>
      <c r="I2" s="10"/>
      <c r="K2" s="1" t="s">
        <v>11</v>
      </c>
    </row>
    <row r="3" spans="1:11" x14ac:dyDescent="0.2">
      <c r="A3" s="9" t="s">
        <v>18</v>
      </c>
      <c r="C3" s="9"/>
      <c r="D3" s="9"/>
      <c r="E3" s="2"/>
      <c r="F3" s="9"/>
      <c r="K3" s="17" t="s">
        <v>10</v>
      </c>
    </row>
    <row r="4" spans="1:11" x14ac:dyDescent="0.2">
      <c r="A4" s="9" t="s">
        <v>19</v>
      </c>
      <c r="C4" s="14"/>
      <c r="D4" s="14"/>
      <c r="E4" s="2"/>
      <c r="F4" s="9"/>
      <c r="G4" s="122" t="s">
        <v>7</v>
      </c>
      <c r="H4" s="122"/>
      <c r="I4" s="15" t="s">
        <v>0</v>
      </c>
      <c r="K4" s="1"/>
    </row>
    <row r="5" spans="1:11" x14ac:dyDescent="0.2">
      <c r="A5" s="2" t="s">
        <v>20</v>
      </c>
      <c r="C5" s="2"/>
      <c r="D5" s="2"/>
      <c r="E5" s="2"/>
      <c r="F5" s="9"/>
      <c r="G5" s="157">
        <v>2291</v>
      </c>
      <c r="H5" s="157"/>
      <c r="I5" s="13">
        <v>44827</v>
      </c>
      <c r="K5" s="6" t="s">
        <v>3</v>
      </c>
    </row>
    <row r="6" spans="1:11" x14ac:dyDescent="0.2">
      <c r="A6" s="9" t="s">
        <v>21</v>
      </c>
      <c r="C6" s="9"/>
      <c r="D6" s="9"/>
      <c r="E6" s="2"/>
      <c r="F6" s="9"/>
      <c r="G6" s="122" t="s">
        <v>9</v>
      </c>
      <c r="H6" s="122"/>
      <c r="I6" s="15" t="s">
        <v>8</v>
      </c>
      <c r="K6" s="6"/>
    </row>
    <row r="7" spans="1:11" x14ac:dyDescent="0.2">
      <c r="B7" s="2"/>
      <c r="C7" s="2"/>
      <c r="D7" s="2"/>
      <c r="E7" s="2"/>
      <c r="F7" s="9"/>
      <c r="G7" s="157"/>
      <c r="H7" s="157"/>
      <c r="I7" s="19">
        <f>I5+15</f>
        <v>44842</v>
      </c>
      <c r="K7" s="1"/>
    </row>
    <row r="8" spans="1:11" ht="18" customHeight="1" x14ac:dyDescent="0.2">
      <c r="B8" s="2"/>
      <c r="C8" s="2"/>
      <c r="D8" s="2"/>
      <c r="E8" s="2"/>
      <c r="F8" s="9"/>
      <c r="G8" s="20"/>
      <c r="H8" s="20"/>
      <c r="I8" s="21"/>
      <c r="K8" s="1"/>
    </row>
    <row r="9" spans="1:11" ht="20.100000000000001" customHeight="1" x14ac:dyDescent="0.2">
      <c r="A9" s="133" t="s">
        <v>29</v>
      </c>
      <c r="B9" s="134"/>
      <c r="C9" s="134"/>
      <c r="D9" s="134"/>
      <c r="E9" s="9"/>
      <c r="H9" s="22" t="s">
        <v>28</v>
      </c>
      <c r="I9" s="25"/>
      <c r="K9" s="5"/>
    </row>
    <row r="10" spans="1:11" ht="14.25" customHeight="1" x14ac:dyDescent="0.2">
      <c r="A10" s="9" t="s">
        <v>22</v>
      </c>
      <c r="C10" s="9"/>
      <c r="D10" s="9"/>
      <c r="E10" s="9"/>
      <c r="H10" s="22"/>
      <c r="I10" s="25"/>
      <c r="K10" s="5"/>
    </row>
    <row r="11" spans="1:11" x14ac:dyDescent="0.2">
      <c r="A11" s="9" t="s">
        <v>23</v>
      </c>
      <c r="C11" s="9"/>
      <c r="D11" s="9"/>
      <c r="E11" s="9"/>
      <c r="H11" s="22"/>
      <c r="I11" s="25"/>
      <c r="K11" s="5"/>
    </row>
    <row r="12" spans="1:11" x14ac:dyDescent="0.2">
      <c r="A12" s="9" t="s">
        <v>24</v>
      </c>
      <c r="C12" s="9"/>
      <c r="D12" s="9"/>
      <c r="E12" s="9"/>
    </row>
    <row r="13" spans="1:11" x14ac:dyDescent="0.2">
      <c r="A13" s="9" t="s">
        <v>25</v>
      </c>
      <c r="C13" s="9"/>
      <c r="D13" s="9"/>
      <c r="E13" s="9"/>
    </row>
    <row r="14" spans="1:11" x14ac:dyDescent="0.2">
      <c r="A14" s="9" t="s">
        <v>26</v>
      </c>
      <c r="C14" s="9"/>
      <c r="D14" s="9"/>
      <c r="E14" s="9"/>
    </row>
    <row r="15" spans="1:11" x14ac:dyDescent="0.2">
      <c r="A15" s="2" t="s">
        <v>27</v>
      </c>
      <c r="C15" s="2"/>
      <c r="D15" s="2"/>
      <c r="E15" s="2"/>
      <c r="F15" s="2"/>
    </row>
    <row r="16" spans="1:11" x14ac:dyDescent="0.2">
      <c r="B16" s="9"/>
      <c r="C16" s="9"/>
      <c r="D16" s="9"/>
      <c r="E16" s="9"/>
      <c r="F16" s="2"/>
      <c r="G16" s="2"/>
      <c r="H16" s="2"/>
      <c r="I16" s="2"/>
      <c r="K16" s="5"/>
    </row>
    <row r="17" spans="1:16" ht="20.100000000000001" customHeight="1" x14ac:dyDescent="0.2">
      <c r="A17" s="27" t="s">
        <v>31</v>
      </c>
      <c r="B17" s="154" t="s">
        <v>30</v>
      </c>
      <c r="C17" s="155"/>
      <c r="D17" s="155"/>
      <c r="E17" s="155"/>
      <c r="F17" s="156"/>
      <c r="G17" s="15" t="s">
        <v>34</v>
      </c>
      <c r="H17" s="15" t="s">
        <v>32</v>
      </c>
      <c r="I17" s="15" t="s">
        <v>33</v>
      </c>
      <c r="K17" s="5"/>
    </row>
    <row r="18" spans="1:16" x14ac:dyDescent="0.2">
      <c r="A18" s="29"/>
      <c r="B18" s="83"/>
      <c r="C18" s="92"/>
      <c r="D18" s="92"/>
      <c r="E18" s="92"/>
      <c r="F18" s="84"/>
      <c r="G18" s="12"/>
      <c r="H18" s="11"/>
      <c r="I18" s="24"/>
      <c r="J18" s="16"/>
      <c r="K18" s="5"/>
    </row>
    <row r="19" spans="1:16" x14ac:dyDescent="0.2">
      <c r="A19" s="29"/>
      <c r="B19" s="123" t="s">
        <v>38</v>
      </c>
      <c r="C19" s="161"/>
      <c r="D19" s="161"/>
      <c r="E19" s="161"/>
      <c r="F19" s="162"/>
      <c r="G19" s="12"/>
      <c r="H19" s="11"/>
      <c r="I19" s="24"/>
      <c r="J19" s="16"/>
      <c r="K19" s="5"/>
    </row>
    <row r="20" spans="1:16" x14ac:dyDescent="0.2">
      <c r="A20" s="29"/>
      <c r="B20" s="37"/>
      <c r="C20" s="28"/>
      <c r="D20" s="28"/>
      <c r="E20" s="28"/>
      <c r="F20" s="34"/>
      <c r="G20" s="12"/>
      <c r="H20" s="11"/>
      <c r="I20" s="24"/>
      <c r="J20" s="16"/>
      <c r="K20" s="5"/>
    </row>
    <row r="21" spans="1:16" x14ac:dyDescent="0.2">
      <c r="A21" s="29">
        <v>1</v>
      </c>
      <c r="B21" s="126" t="s">
        <v>51</v>
      </c>
      <c r="C21" s="141"/>
      <c r="D21" s="141"/>
      <c r="E21" s="141"/>
      <c r="F21" s="153"/>
      <c r="G21" s="61">
        <v>1</v>
      </c>
      <c r="H21" s="62">
        <v>3990</v>
      </c>
      <c r="I21" s="71">
        <v>3990</v>
      </c>
      <c r="J21" s="73">
        <v>3000</v>
      </c>
      <c r="K21" s="5"/>
    </row>
    <row r="22" spans="1:16" x14ac:dyDescent="0.2">
      <c r="A22" s="29"/>
      <c r="B22" s="126"/>
      <c r="C22" s="141"/>
      <c r="D22" s="141"/>
      <c r="E22" s="141"/>
      <c r="F22" s="153"/>
      <c r="G22" s="61"/>
      <c r="H22" s="62"/>
      <c r="I22" s="71"/>
      <c r="J22" s="73"/>
      <c r="K22" s="5"/>
    </row>
    <row r="23" spans="1:16" ht="14.25" customHeight="1" x14ac:dyDescent="0.2">
      <c r="A23" s="29">
        <v>2</v>
      </c>
      <c r="B23" s="126" t="s">
        <v>53</v>
      </c>
      <c r="C23" s="141"/>
      <c r="D23" s="141"/>
      <c r="E23" s="141"/>
      <c r="F23" s="153"/>
      <c r="G23" s="61">
        <v>1</v>
      </c>
      <c r="H23" s="62">
        <v>799</v>
      </c>
      <c r="I23" s="63">
        <v>789</v>
      </c>
      <c r="J23" s="16">
        <v>580</v>
      </c>
      <c r="K23" s="5"/>
    </row>
    <row r="24" spans="1:16" ht="14.25" customHeight="1" x14ac:dyDescent="0.2">
      <c r="A24" s="29">
        <v>3</v>
      </c>
      <c r="B24" s="126" t="s">
        <v>79</v>
      </c>
      <c r="C24" s="141"/>
      <c r="D24" s="141"/>
      <c r="E24" s="141"/>
      <c r="F24" s="153"/>
      <c r="G24" s="61">
        <v>1</v>
      </c>
      <c r="H24" s="62">
        <v>1250</v>
      </c>
      <c r="I24" s="63">
        <v>1250</v>
      </c>
      <c r="J24" s="16">
        <v>850</v>
      </c>
      <c r="K24" s="5"/>
    </row>
    <row r="25" spans="1:16" x14ac:dyDescent="0.2">
      <c r="A25" s="29">
        <v>4</v>
      </c>
      <c r="B25" s="126" t="s">
        <v>52</v>
      </c>
      <c r="C25" s="163"/>
      <c r="D25" s="163"/>
      <c r="E25" s="163"/>
      <c r="F25" s="164"/>
      <c r="G25" s="61">
        <v>1</v>
      </c>
      <c r="H25" s="62">
        <v>300</v>
      </c>
      <c r="I25" s="63">
        <v>300</v>
      </c>
      <c r="J25" s="16">
        <v>100</v>
      </c>
      <c r="K25" s="5"/>
    </row>
    <row r="26" spans="1:16" x14ac:dyDescent="0.2">
      <c r="A26" s="29">
        <v>5</v>
      </c>
      <c r="B26" s="126" t="s">
        <v>80</v>
      </c>
      <c r="C26" s="163"/>
      <c r="D26" s="163"/>
      <c r="E26" s="163"/>
      <c r="F26" s="164"/>
      <c r="G26" s="61">
        <v>1</v>
      </c>
      <c r="H26" s="62">
        <v>60</v>
      </c>
      <c r="I26" s="63">
        <v>60</v>
      </c>
      <c r="J26" s="16">
        <v>50</v>
      </c>
      <c r="K26" s="5"/>
    </row>
    <row r="27" spans="1:16" x14ac:dyDescent="0.2">
      <c r="A27" s="29">
        <v>6</v>
      </c>
      <c r="B27" s="126" t="s">
        <v>83</v>
      </c>
      <c r="C27" s="141"/>
      <c r="D27" s="141"/>
      <c r="E27" s="141"/>
      <c r="F27" s="153"/>
      <c r="G27" s="61">
        <v>1</v>
      </c>
      <c r="H27" s="62">
        <v>285</v>
      </c>
      <c r="I27" s="63">
        <v>285</v>
      </c>
      <c r="J27" s="16">
        <v>150</v>
      </c>
      <c r="K27" s="5"/>
    </row>
    <row r="28" spans="1:16" x14ac:dyDescent="0.2">
      <c r="A28" s="29"/>
      <c r="B28" s="126"/>
      <c r="C28" s="141"/>
      <c r="D28" s="141"/>
      <c r="E28" s="141"/>
      <c r="F28" s="153"/>
      <c r="G28" s="61"/>
      <c r="H28" s="62"/>
      <c r="I28" s="63"/>
      <c r="J28" s="16"/>
      <c r="K28" s="5"/>
    </row>
    <row r="29" spans="1:16" x14ac:dyDescent="0.2">
      <c r="A29" s="29">
        <v>7</v>
      </c>
      <c r="B29" s="126" t="s">
        <v>81</v>
      </c>
      <c r="C29" s="141"/>
      <c r="D29" s="141"/>
      <c r="E29" s="141"/>
      <c r="F29" s="153"/>
      <c r="G29" s="61">
        <v>1</v>
      </c>
      <c r="H29" s="62">
        <v>450</v>
      </c>
      <c r="I29" s="63">
        <v>450</v>
      </c>
      <c r="J29" s="16">
        <v>300</v>
      </c>
      <c r="K29" s="5"/>
    </row>
    <row r="30" spans="1:16" x14ac:dyDescent="0.2">
      <c r="A30" s="29"/>
      <c r="B30" s="126"/>
      <c r="C30" s="141"/>
      <c r="D30" s="141"/>
      <c r="E30" s="141"/>
      <c r="F30" s="153"/>
      <c r="G30" s="61"/>
      <c r="H30" s="62"/>
      <c r="I30" s="63"/>
      <c r="J30" s="16"/>
      <c r="K30" s="5"/>
    </row>
    <row r="31" spans="1:16" x14ac:dyDescent="0.2">
      <c r="A31" s="29">
        <v>8</v>
      </c>
      <c r="B31" s="126" t="s">
        <v>63</v>
      </c>
      <c r="C31" s="141"/>
      <c r="D31" s="141"/>
      <c r="E31" s="141"/>
      <c r="F31" s="153"/>
      <c r="G31" s="61">
        <v>1</v>
      </c>
      <c r="H31" s="62">
        <v>389</v>
      </c>
      <c r="I31" s="63">
        <v>389</v>
      </c>
      <c r="J31" s="16">
        <v>302</v>
      </c>
      <c r="K31" s="5"/>
    </row>
    <row r="32" spans="1:16" x14ac:dyDescent="0.2">
      <c r="A32" s="29"/>
      <c r="B32" s="126"/>
      <c r="C32" s="141"/>
      <c r="D32" s="141"/>
      <c r="E32" s="141"/>
      <c r="F32" s="153"/>
      <c r="G32" s="61"/>
      <c r="H32" s="62"/>
      <c r="I32" s="63"/>
      <c r="J32" s="16"/>
      <c r="K32" s="5"/>
      <c r="P32" t="s">
        <v>85</v>
      </c>
    </row>
    <row r="33" spans="1:14" x14ac:dyDescent="0.2">
      <c r="A33" s="29">
        <v>9</v>
      </c>
      <c r="B33" s="126" t="s">
        <v>64</v>
      </c>
      <c r="C33" s="141"/>
      <c r="D33" s="141"/>
      <c r="E33" s="141"/>
      <c r="F33" s="153"/>
      <c r="G33" s="61">
        <v>1</v>
      </c>
      <c r="H33" s="62">
        <v>75</v>
      </c>
      <c r="I33" s="63">
        <v>75</v>
      </c>
      <c r="J33" s="16">
        <v>50</v>
      </c>
      <c r="K33" s="5"/>
    </row>
    <row r="34" spans="1:14" x14ac:dyDescent="0.2">
      <c r="A34" s="29"/>
      <c r="B34" s="126"/>
      <c r="C34" s="141"/>
      <c r="D34" s="141"/>
      <c r="E34" s="141"/>
      <c r="F34" s="153"/>
      <c r="G34" s="61"/>
      <c r="H34" s="62"/>
      <c r="I34" s="63"/>
      <c r="J34" s="16"/>
      <c r="K34" s="5"/>
    </row>
    <row r="35" spans="1:14" x14ac:dyDescent="0.2">
      <c r="A35" s="29">
        <v>10</v>
      </c>
      <c r="B35" s="126" t="s">
        <v>41</v>
      </c>
      <c r="C35" s="141"/>
      <c r="D35" s="141"/>
      <c r="E35" s="141"/>
      <c r="F35" s="153"/>
      <c r="G35" s="61">
        <v>1</v>
      </c>
      <c r="H35" s="62">
        <v>285</v>
      </c>
      <c r="I35" s="63">
        <v>285</v>
      </c>
      <c r="J35" s="16">
        <v>235</v>
      </c>
      <c r="K35" s="5"/>
    </row>
    <row r="36" spans="1:14" x14ac:dyDescent="0.2">
      <c r="A36" s="29"/>
      <c r="B36" s="126"/>
      <c r="C36" s="141"/>
      <c r="D36" s="141"/>
      <c r="E36" s="141"/>
      <c r="F36" s="153"/>
      <c r="G36" s="52"/>
      <c r="H36" s="11"/>
      <c r="I36" s="24"/>
      <c r="J36" s="16"/>
      <c r="K36" s="5"/>
    </row>
    <row r="37" spans="1:14" x14ac:dyDescent="0.2">
      <c r="A37" s="29">
        <v>11</v>
      </c>
      <c r="B37" s="158" t="s">
        <v>40</v>
      </c>
      <c r="C37" s="159"/>
      <c r="D37" s="159"/>
      <c r="E37" s="159"/>
      <c r="F37" s="160"/>
      <c r="G37" s="12">
        <v>1</v>
      </c>
      <c r="H37" s="49">
        <v>285</v>
      </c>
      <c r="I37" s="50">
        <v>285</v>
      </c>
      <c r="J37" s="16">
        <v>150</v>
      </c>
      <c r="K37" s="5"/>
    </row>
    <row r="38" spans="1:14" x14ac:dyDescent="0.2">
      <c r="A38" s="29"/>
      <c r="B38" s="158"/>
      <c r="C38" s="159"/>
      <c r="D38" s="159"/>
      <c r="E38" s="159"/>
      <c r="F38" s="160"/>
      <c r="G38" s="12"/>
      <c r="H38" s="55"/>
      <c r="I38" s="56"/>
      <c r="J38" s="16"/>
      <c r="K38" s="5"/>
    </row>
    <row r="39" spans="1:14" x14ac:dyDescent="0.2">
      <c r="A39" s="29"/>
      <c r="B39" s="158"/>
      <c r="C39" s="159"/>
      <c r="D39" s="159"/>
      <c r="E39" s="159"/>
      <c r="F39" s="160"/>
      <c r="G39" s="12"/>
      <c r="H39" s="55"/>
      <c r="I39" s="56"/>
      <c r="J39" s="16"/>
      <c r="K39" s="5"/>
    </row>
    <row r="40" spans="1:14" ht="10.5" customHeight="1" x14ac:dyDescent="0.2">
      <c r="A40" s="29"/>
      <c r="B40" s="158"/>
      <c r="C40" s="159"/>
      <c r="D40" s="159"/>
      <c r="E40" s="159"/>
      <c r="F40" s="160"/>
      <c r="G40" s="12"/>
      <c r="H40" s="55"/>
      <c r="I40" s="56"/>
      <c r="J40" s="16"/>
      <c r="K40" s="5"/>
    </row>
    <row r="41" spans="1:14" ht="14.25" customHeight="1" x14ac:dyDescent="0.2">
      <c r="A41" s="29">
        <v>12</v>
      </c>
      <c r="B41" s="158" t="s">
        <v>57</v>
      </c>
      <c r="C41" s="159"/>
      <c r="D41" s="159"/>
      <c r="E41" s="159"/>
      <c r="F41" s="160"/>
      <c r="G41" s="12">
        <v>1</v>
      </c>
      <c r="H41" s="180">
        <v>5699</v>
      </c>
      <c r="I41" s="165">
        <v>5699</v>
      </c>
      <c r="J41" s="167">
        <v>5180.8</v>
      </c>
      <c r="K41" s="5"/>
    </row>
    <row r="42" spans="1:14" x14ac:dyDescent="0.2">
      <c r="A42" s="29"/>
      <c r="B42" s="158"/>
      <c r="C42" s="159"/>
      <c r="D42" s="159"/>
      <c r="E42" s="159"/>
      <c r="F42" s="160"/>
      <c r="H42" s="180"/>
      <c r="I42" s="165"/>
      <c r="J42" s="167"/>
      <c r="K42" s="5"/>
    </row>
    <row r="43" spans="1:14" x14ac:dyDescent="0.2">
      <c r="A43" s="29"/>
      <c r="B43" s="158"/>
      <c r="C43" s="159"/>
      <c r="D43" s="159"/>
      <c r="E43" s="159"/>
      <c r="F43" s="160"/>
      <c r="G43" s="12"/>
      <c r="H43" s="180"/>
      <c r="I43" s="165"/>
      <c r="J43" s="167"/>
      <c r="K43" s="5"/>
      <c r="N43" s="70">
        <f>SUM(I37:I74)</f>
        <v>9198</v>
      </c>
    </row>
    <row r="44" spans="1:14" x14ac:dyDescent="0.2">
      <c r="A44" s="29"/>
      <c r="B44" s="158"/>
      <c r="C44" s="159"/>
      <c r="D44" s="159"/>
      <c r="E44" s="159"/>
      <c r="F44" s="160"/>
      <c r="G44" s="12"/>
      <c r="H44" s="180"/>
      <c r="I44" s="165"/>
      <c r="J44" s="167"/>
      <c r="K44" s="5"/>
    </row>
    <row r="45" spans="1:14" ht="22.5" customHeight="1" x14ac:dyDescent="0.2">
      <c r="A45" s="29"/>
      <c r="B45" s="158"/>
      <c r="C45" s="159"/>
      <c r="D45" s="159"/>
      <c r="E45" s="159"/>
      <c r="F45" s="160"/>
      <c r="G45" s="12"/>
      <c r="H45" s="180"/>
      <c r="I45" s="166"/>
      <c r="J45" s="16"/>
      <c r="K45" s="5"/>
    </row>
    <row r="46" spans="1:14" x14ac:dyDescent="0.2">
      <c r="A46" s="29">
        <v>13</v>
      </c>
      <c r="B46" s="158" t="s">
        <v>50</v>
      </c>
      <c r="C46" s="159"/>
      <c r="D46" s="159"/>
      <c r="E46" s="159"/>
      <c r="F46" s="160"/>
      <c r="G46" s="12">
        <v>1</v>
      </c>
      <c r="H46" s="49">
        <v>500</v>
      </c>
      <c r="I46" s="50">
        <v>500</v>
      </c>
      <c r="J46" s="16">
        <v>200</v>
      </c>
      <c r="K46" s="5"/>
    </row>
    <row r="47" spans="1:14" ht="14.25" customHeight="1" x14ac:dyDescent="0.2">
      <c r="A47" s="29"/>
      <c r="B47" s="158"/>
      <c r="C47" s="159"/>
      <c r="D47" s="159"/>
      <c r="E47" s="159"/>
      <c r="F47" s="160"/>
      <c r="G47" s="12"/>
      <c r="H47" s="49"/>
      <c r="I47" s="50"/>
      <c r="J47" s="16"/>
      <c r="K47" s="5"/>
      <c r="N47" s="70" t="e">
        <f>SUM(#REF!,N43,#REF!)</f>
        <v>#REF!</v>
      </c>
    </row>
    <row r="48" spans="1:14" x14ac:dyDescent="0.2">
      <c r="A48">
        <v>14</v>
      </c>
      <c r="B48" s="158" t="s">
        <v>39</v>
      </c>
      <c r="C48" s="159"/>
      <c r="D48" s="159"/>
      <c r="E48" s="159"/>
      <c r="F48" s="160"/>
      <c r="G48" s="12">
        <v>1</v>
      </c>
      <c r="H48" s="49">
        <v>900</v>
      </c>
      <c r="I48" s="50">
        <v>900</v>
      </c>
      <c r="J48" s="16">
        <v>300</v>
      </c>
      <c r="K48" s="5"/>
    </row>
    <row r="49" spans="1:11" x14ac:dyDescent="0.2">
      <c r="B49" s="80"/>
      <c r="C49" s="81"/>
      <c r="D49" s="81"/>
      <c r="E49" s="81"/>
      <c r="F49" s="82"/>
      <c r="G49" s="12"/>
      <c r="H49" s="49"/>
      <c r="I49" s="50"/>
      <c r="J49" s="16"/>
      <c r="K49" s="5"/>
    </row>
    <row r="50" spans="1:11" x14ac:dyDescent="0.2">
      <c r="A50" s="27" t="s">
        <v>31</v>
      </c>
      <c r="B50" s="154" t="s">
        <v>30</v>
      </c>
      <c r="C50" s="155"/>
      <c r="D50" s="155"/>
      <c r="E50" s="155"/>
      <c r="F50" s="156"/>
      <c r="G50" s="15" t="s">
        <v>34</v>
      </c>
      <c r="H50" s="15" t="s">
        <v>32</v>
      </c>
      <c r="I50" s="15" t="s">
        <v>33</v>
      </c>
      <c r="J50" s="16"/>
      <c r="K50" s="5"/>
    </row>
    <row r="51" spans="1:11" x14ac:dyDescent="0.2">
      <c r="A51" s="87"/>
      <c r="B51" s="171" t="s">
        <v>55</v>
      </c>
      <c r="C51" s="172"/>
      <c r="D51" s="172"/>
      <c r="E51" s="172"/>
      <c r="F51" s="173"/>
      <c r="G51" s="90"/>
      <c r="H51" s="90"/>
      <c r="I51" s="90"/>
      <c r="J51" s="16"/>
      <c r="K51" s="5"/>
    </row>
    <row r="52" spans="1:11" x14ac:dyDescent="0.2">
      <c r="A52" s="87"/>
      <c r="B52" s="174"/>
      <c r="C52" s="175"/>
      <c r="D52" s="175"/>
      <c r="E52" s="175"/>
      <c r="F52" s="176"/>
      <c r="G52" s="90"/>
      <c r="H52" s="90"/>
      <c r="I52" s="90"/>
      <c r="J52" s="16"/>
      <c r="K52" s="5"/>
    </row>
    <row r="53" spans="1:11" x14ac:dyDescent="0.2">
      <c r="A53" s="87"/>
      <c r="B53" s="174"/>
      <c r="C53" s="175"/>
      <c r="D53" s="175"/>
      <c r="E53" s="175"/>
      <c r="F53" s="176"/>
      <c r="G53" s="90"/>
      <c r="H53" s="90"/>
      <c r="I53" s="90"/>
      <c r="J53" s="16"/>
      <c r="K53" s="5"/>
    </row>
    <row r="54" spans="1:11" x14ac:dyDescent="0.2">
      <c r="A54" s="87"/>
      <c r="B54" s="88"/>
      <c r="C54" s="87"/>
      <c r="D54" s="87"/>
      <c r="E54" s="87"/>
      <c r="F54" s="89"/>
      <c r="G54" s="90"/>
      <c r="H54" s="90"/>
      <c r="I54" s="90"/>
      <c r="J54" s="16"/>
      <c r="K54" s="5"/>
    </row>
    <row r="55" spans="1:11" x14ac:dyDescent="0.2">
      <c r="A55">
        <v>1</v>
      </c>
      <c r="B55" s="126" t="s">
        <v>86</v>
      </c>
      <c r="C55" s="141"/>
      <c r="D55" s="141"/>
      <c r="E55" s="141"/>
      <c r="F55" s="153"/>
      <c r="G55" s="48">
        <v>1</v>
      </c>
      <c r="H55" s="49">
        <v>285</v>
      </c>
      <c r="I55" s="50">
        <v>285</v>
      </c>
      <c r="J55" s="16">
        <v>150</v>
      </c>
      <c r="K55" s="5"/>
    </row>
    <row r="56" spans="1:11" x14ac:dyDescent="0.2">
      <c r="B56" s="126"/>
      <c r="C56" s="141"/>
      <c r="D56" s="141"/>
      <c r="E56" s="141"/>
      <c r="F56" s="153"/>
      <c r="G56" s="48"/>
      <c r="H56" s="49"/>
      <c r="J56" s="16"/>
      <c r="K56" s="5"/>
    </row>
    <row r="57" spans="1:11" x14ac:dyDescent="0.2">
      <c r="B57" s="126"/>
      <c r="C57" s="141"/>
      <c r="D57" s="141"/>
      <c r="E57" s="141"/>
      <c r="F57" s="153"/>
      <c r="G57" s="48"/>
      <c r="H57" s="49"/>
      <c r="I57" s="50"/>
      <c r="J57" s="16"/>
      <c r="K57" s="5"/>
    </row>
    <row r="58" spans="1:11" x14ac:dyDescent="0.2">
      <c r="A58">
        <v>2</v>
      </c>
      <c r="B58" s="126" t="s">
        <v>61</v>
      </c>
      <c r="C58" s="141"/>
      <c r="D58" s="141"/>
      <c r="E58" s="141"/>
      <c r="F58" s="153"/>
      <c r="G58" s="48">
        <v>1</v>
      </c>
      <c r="H58" s="49">
        <v>430</v>
      </c>
      <c r="I58" s="50">
        <v>430</v>
      </c>
      <c r="J58" s="16">
        <v>330</v>
      </c>
      <c r="K58" s="5"/>
    </row>
    <row r="59" spans="1:11" x14ac:dyDescent="0.2">
      <c r="A59">
        <v>3</v>
      </c>
      <c r="B59" s="126" t="s">
        <v>60</v>
      </c>
      <c r="C59" s="141"/>
      <c r="D59" s="141"/>
      <c r="E59" s="141"/>
      <c r="F59" s="153"/>
      <c r="G59" s="48">
        <v>1</v>
      </c>
      <c r="H59" s="49">
        <v>499</v>
      </c>
      <c r="I59" s="50">
        <v>499</v>
      </c>
      <c r="J59" s="16">
        <v>399</v>
      </c>
      <c r="K59" s="5"/>
    </row>
    <row r="60" spans="1:11" x14ac:dyDescent="0.2">
      <c r="A60">
        <v>4</v>
      </c>
      <c r="B60" s="126" t="s">
        <v>67</v>
      </c>
      <c r="C60" s="141"/>
      <c r="D60" s="141"/>
      <c r="E60" s="141"/>
      <c r="F60" s="153"/>
      <c r="G60" s="48">
        <v>1</v>
      </c>
      <c r="H60" s="49">
        <v>450</v>
      </c>
      <c r="I60" s="50">
        <v>450</v>
      </c>
      <c r="J60" s="16">
        <v>200</v>
      </c>
      <c r="K60" s="5"/>
    </row>
    <row r="61" spans="1:11" x14ac:dyDescent="0.2">
      <c r="B61" s="126"/>
      <c r="C61" s="141"/>
      <c r="D61" s="141"/>
      <c r="E61" s="141"/>
      <c r="F61" s="153"/>
      <c r="G61" s="48"/>
      <c r="H61" s="49"/>
      <c r="I61" s="50"/>
      <c r="J61" s="16"/>
      <c r="K61" s="5"/>
    </row>
    <row r="62" spans="1:11" x14ac:dyDescent="0.2">
      <c r="A62">
        <v>5</v>
      </c>
      <c r="B62" s="126" t="s">
        <v>87</v>
      </c>
      <c r="C62" s="141"/>
      <c r="D62" s="141"/>
      <c r="E62" s="141"/>
      <c r="F62" s="153"/>
      <c r="G62" s="12">
        <v>1</v>
      </c>
      <c r="H62" s="11">
        <v>150</v>
      </c>
      <c r="I62" s="24">
        <v>150</v>
      </c>
      <c r="J62" s="16">
        <v>100</v>
      </c>
      <c r="K62" s="5"/>
    </row>
    <row r="63" spans="1:11" x14ac:dyDescent="0.2">
      <c r="B63" s="83"/>
      <c r="C63" s="92"/>
      <c r="D63" s="92"/>
      <c r="E63" s="92"/>
      <c r="F63" s="84"/>
      <c r="G63" s="12"/>
      <c r="H63" s="49"/>
      <c r="I63" s="50"/>
      <c r="J63" s="16"/>
      <c r="K63" s="5"/>
    </row>
    <row r="64" spans="1:11" x14ac:dyDescent="0.2">
      <c r="B64" s="83"/>
      <c r="C64" s="92"/>
      <c r="D64" s="92"/>
      <c r="E64" s="92"/>
      <c r="F64" s="84"/>
      <c r="G64" s="12"/>
      <c r="H64" s="49"/>
      <c r="I64" s="50"/>
      <c r="J64" s="16"/>
      <c r="K64" s="5"/>
    </row>
    <row r="65" spans="1:18" x14ac:dyDescent="0.2">
      <c r="A65" s="93"/>
      <c r="G65" s="12"/>
      <c r="H65" s="49"/>
      <c r="I65" s="50"/>
    </row>
    <row r="66" spans="1:18" x14ac:dyDescent="0.2">
      <c r="B66" s="168"/>
      <c r="C66" s="169"/>
      <c r="D66" s="169"/>
      <c r="E66" s="169"/>
      <c r="F66" s="170"/>
      <c r="G66" s="12"/>
      <c r="H66" s="49"/>
      <c r="I66" s="50"/>
      <c r="J66" s="16"/>
      <c r="K66" s="5"/>
    </row>
    <row r="67" spans="1:18" x14ac:dyDescent="0.2">
      <c r="B67" s="177"/>
      <c r="C67" s="169"/>
      <c r="D67" s="169"/>
      <c r="E67" s="169"/>
      <c r="F67" s="170"/>
      <c r="G67" s="12"/>
      <c r="H67" s="49"/>
      <c r="I67" s="50"/>
      <c r="J67" s="16"/>
      <c r="K67" s="5"/>
    </row>
    <row r="68" spans="1:18" x14ac:dyDescent="0.2">
      <c r="B68" s="37"/>
      <c r="C68" s="28"/>
      <c r="D68" s="28"/>
      <c r="E68" s="28"/>
      <c r="F68" s="34"/>
      <c r="G68" s="12"/>
      <c r="H68" s="49"/>
      <c r="I68" s="50"/>
      <c r="J68" s="16"/>
      <c r="K68" s="5"/>
    </row>
    <row r="69" spans="1:18" x14ac:dyDescent="0.2">
      <c r="B69" s="126"/>
      <c r="C69" s="141"/>
      <c r="D69" s="141"/>
      <c r="E69" s="141"/>
      <c r="F69" s="153"/>
      <c r="G69" s="12"/>
      <c r="H69" s="49"/>
      <c r="I69" s="50"/>
      <c r="K69" s="16">
        <v>176</v>
      </c>
    </row>
    <row r="70" spans="1:18" x14ac:dyDescent="0.2">
      <c r="A70" s="47"/>
      <c r="B70" s="168"/>
      <c r="C70" s="169"/>
      <c r="D70" s="169"/>
      <c r="E70" s="169"/>
      <c r="F70" s="170"/>
      <c r="G70" s="12"/>
      <c r="H70" s="49"/>
      <c r="I70" s="50"/>
      <c r="J70" s="16"/>
      <c r="K70" s="5"/>
    </row>
    <row r="71" spans="1:18" x14ac:dyDescent="0.2">
      <c r="B71" s="177"/>
      <c r="C71" s="178"/>
      <c r="D71" s="178"/>
      <c r="E71" s="178"/>
      <c r="F71" s="179"/>
      <c r="G71" s="12"/>
      <c r="H71" s="11"/>
      <c r="I71" s="33"/>
      <c r="J71" s="16"/>
      <c r="K71" s="5"/>
      <c r="L71" s="77" t="s">
        <v>75</v>
      </c>
      <c r="M71" s="78" t="s">
        <v>74</v>
      </c>
      <c r="N71" s="76" t="s">
        <v>76</v>
      </c>
    </row>
    <row r="72" spans="1:18" x14ac:dyDescent="0.2">
      <c r="B72" s="37"/>
      <c r="C72" s="38"/>
      <c r="D72" s="38"/>
      <c r="E72" s="38"/>
      <c r="F72" s="39"/>
      <c r="G72" s="12"/>
      <c r="H72" s="11"/>
      <c r="I72" s="33"/>
      <c r="J72" s="16"/>
      <c r="K72" s="5"/>
      <c r="L72" s="86">
        <f>I78</f>
        <v>17071</v>
      </c>
      <c r="M72" s="79">
        <f>SUM(J18:J49,J55:J62)</f>
        <v>12626.8</v>
      </c>
      <c r="N72" s="76">
        <f>L72-M72</f>
        <v>4444.2000000000007</v>
      </c>
    </row>
    <row r="73" spans="1:18" s="64" customFormat="1" ht="18" customHeight="1" x14ac:dyDescent="0.2">
      <c r="B73" s="123"/>
      <c r="C73" s="124"/>
      <c r="D73" s="124"/>
      <c r="E73" s="124"/>
      <c r="F73" s="125"/>
      <c r="G73" s="12"/>
      <c r="H73" s="11"/>
      <c r="I73" s="65"/>
      <c r="J73" s="74"/>
      <c r="K73" s="66"/>
    </row>
    <row r="74" spans="1:18" x14ac:dyDescent="0.2">
      <c r="B74" s="158"/>
      <c r="C74" s="159"/>
      <c r="D74" s="159"/>
      <c r="E74" s="159"/>
      <c r="F74" s="160"/>
      <c r="G74" s="12"/>
      <c r="H74" s="33"/>
      <c r="I74" s="33"/>
      <c r="K74" s="16">
        <v>4668</v>
      </c>
    </row>
    <row r="75" spans="1:18" x14ac:dyDescent="0.2">
      <c r="B75" s="158"/>
      <c r="C75" s="159"/>
      <c r="D75" s="159"/>
      <c r="E75" s="159"/>
      <c r="F75" s="160"/>
      <c r="G75" s="12"/>
      <c r="H75" s="33"/>
      <c r="I75" s="33"/>
      <c r="J75" s="16"/>
      <c r="K75" s="5"/>
      <c r="R75" s="85"/>
    </row>
    <row r="76" spans="1:18" s="4" customFormat="1" ht="27.95" customHeight="1" x14ac:dyDescent="0.2">
      <c r="B76" s="145" t="s">
        <v>2</v>
      </c>
      <c r="C76" s="146"/>
      <c r="D76" s="146"/>
      <c r="E76" s="146"/>
      <c r="F76" s="147"/>
      <c r="G76" s="143" t="s">
        <v>13</v>
      </c>
      <c r="H76" s="144"/>
      <c r="I76" s="26">
        <f>SUM(I18:I75)</f>
        <v>17071</v>
      </c>
      <c r="K76" s="6" t="s">
        <v>1</v>
      </c>
    </row>
    <row r="77" spans="1:18" ht="24" customHeight="1" x14ac:dyDescent="0.2">
      <c r="B77" s="10"/>
      <c r="C77" s="10"/>
      <c r="D77" s="10"/>
      <c r="E77" s="10"/>
      <c r="F77" s="10"/>
      <c r="G77" s="143" t="s">
        <v>14</v>
      </c>
      <c r="H77" s="144"/>
      <c r="I77" s="26">
        <v>0</v>
      </c>
      <c r="K77" s="6" t="s">
        <v>15</v>
      </c>
    </row>
    <row r="78" spans="1:18" ht="24" customHeight="1" x14ac:dyDescent="0.2">
      <c r="B78" s="10"/>
      <c r="C78" s="10"/>
      <c r="D78" s="10"/>
      <c r="E78" s="10"/>
      <c r="F78" s="10"/>
      <c r="G78" s="182" t="s">
        <v>12</v>
      </c>
      <c r="H78" s="183"/>
      <c r="I78" s="68">
        <f>I76+I77</f>
        <v>17071</v>
      </c>
    </row>
    <row r="79" spans="1:18" ht="14.25" customHeight="1" x14ac:dyDescent="0.2">
      <c r="B79" s="41"/>
      <c r="C79" s="41"/>
      <c r="D79" s="41"/>
      <c r="E79" s="41"/>
      <c r="F79" s="41"/>
      <c r="G79" s="41"/>
      <c r="H79" s="41"/>
      <c r="I79" s="41"/>
    </row>
    <row r="80" spans="1:18" ht="14.25" customHeight="1" x14ac:dyDescent="0.2">
      <c r="B80" s="41"/>
      <c r="C80" s="41"/>
      <c r="D80" s="41"/>
      <c r="E80" s="41"/>
      <c r="F80" s="41"/>
      <c r="G80" s="41"/>
      <c r="H80" s="41"/>
      <c r="I80" s="41"/>
    </row>
    <row r="81" spans="2:11" ht="14.25" customHeight="1" x14ac:dyDescent="0.2">
      <c r="B81" s="41"/>
      <c r="C81" s="41"/>
      <c r="D81" s="41"/>
      <c r="E81" s="41"/>
      <c r="F81" s="41"/>
      <c r="G81" s="41"/>
      <c r="H81" s="41"/>
      <c r="I81" s="41"/>
    </row>
    <row r="82" spans="2:11" ht="14.25" customHeight="1" x14ac:dyDescent="0.2">
      <c r="B82" s="41"/>
      <c r="C82" s="41"/>
      <c r="D82" s="41"/>
      <c r="E82" s="41"/>
      <c r="F82" s="41"/>
      <c r="G82" s="41"/>
      <c r="H82" s="41"/>
      <c r="I82" s="41"/>
    </row>
    <row r="83" spans="2:11" ht="14.25" customHeight="1" x14ac:dyDescent="0.2">
      <c r="B83" s="41"/>
      <c r="C83" s="41"/>
      <c r="D83" s="41"/>
      <c r="E83" s="41"/>
      <c r="F83" s="41"/>
      <c r="G83" s="41"/>
      <c r="H83" s="41"/>
      <c r="I83" s="41"/>
    </row>
    <row r="84" spans="2:11" ht="14.25" customHeight="1" x14ac:dyDescent="0.2">
      <c r="B84" s="41"/>
      <c r="C84" s="41"/>
      <c r="D84" s="41"/>
      <c r="E84" s="41"/>
      <c r="F84" s="41"/>
      <c r="G84" s="41"/>
      <c r="H84" s="41"/>
      <c r="I84" s="41"/>
    </row>
    <row r="85" spans="2:11" ht="14.25" customHeight="1" x14ac:dyDescent="0.2">
      <c r="B85" s="41"/>
      <c r="C85" s="41"/>
      <c r="D85" s="41"/>
      <c r="E85" s="41"/>
      <c r="F85" s="41"/>
      <c r="G85" s="41"/>
      <c r="H85" s="41"/>
      <c r="I85" s="41"/>
    </row>
    <row r="86" spans="2:11" ht="14.25" customHeight="1" x14ac:dyDescent="0.2">
      <c r="B86" s="41"/>
      <c r="C86" s="41"/>
      <c r="D86" s="41"/>
      <c r="E86" s="41"/>
      <c r="F86" s="41"/>
      <c r="G86" s="41"/>
      <c r="H86" s="41"/>
      <c r="I86" s="41"/>
    </row>
    <row r="87" spans="2:11" ht="14.25" customHeight="1" x14ac:dyDescent="0.2">
      <c r="B87" s="41"/>
      <c r="C87" s="41"/>
      <c r="D87" s="41"/>
      <c r="E87" s="41"/>
      <c r="F87" s="41"/>
      <c r="G87" s="41"/>
      <c r="H87" s="41"/>
      <c r="I87" s="41"/>
    </row>
    <row r="88" spans="2:11" ht="14.25" customHeight="1" x14ac:dyDescent="0.2">
      <c r="B88" s="41"/>
      <c r="C88" s="41"/>
      <c r="D88" s="41"/>
      <c r="E88" s="41"/>
      <c r="F88" s="41"/>
      <c r="G88" s="41"/>
      <c r="H88" s="41"/>
      <c r="I88" s="41"/>
    </row>
    <row r="89" spans="2:11" ht="14.25" customHeight="1" x14ac:dyDescent="0.2">
      <c r="B89" s="41"/>
      <c r="C89" s="41"/>
      <c r="D89" s="41"/>
      <c r="E89" s="41"/>
      <c r="F89" s="41"/>
      <c r="G89" s="41"/>
      <c r="H89" s="41"/>
      <c r="I89" s="41"/>
    </row>
    <row r="90" spans="2:11" x14ac:dyDescent="0.2">
      <c r="B90" s="10"/>
      <c r="C90" s="10"/>
      <c r="D90" s="10"/>
      <c r="E90" s="10"/>
      <c r="F90" s="10"/>
      <c r="G90" s="10"/>
      <c r="H90" s="10"/>
      <c r="I90" s="10"/>
    </row>
    <row r="91" spans="2:11" x14ac:dyDescent="0.2">
      <c r="B91" s="10"/>
      <c r="C91" s="10"/>
      <c r="D91" s="10"/>
      <c r="E91" s="10"/>
      <c r="F91" s="10"/>
      <c r="G91" s="10"/>
      <c r="H91" s="10"/>
      <c r="I91" s="10"/>
    </row>
    <row r="92" spans="2:11" ht="14.25" customHeight="1" x14ac:dyDescent="0.2">
      <c r="B92" s="148" t="s">
        <v>70</v>
      </c>
      <c r="C92" s="148"/>
      <c r="D92" s="148"/>
      <c r="E92" s="148"/>
      <c r="F92" s="148"/>
      <c r="G92" s="148"/>
      <c r="H92" s="148"/>
      <c r="I92" s="148"/>
      <c r="K92" s="6" t="s">
        <v>5</v>
      </c>
    </row>
    <row r="93" spans="2:11" ht="14.25" customHeight="1" x14ac:dyDescent="0.2">
      <c r="B93" s="148"/>
      <c r="C93" s="148"/>
      <c r="D93" s="148"/>
      <c r="E93" s="148"/>
      <c r="F93" s="148"/>
      <c r="G93" s="148"/>
      <c r="H93" s="148"/>
      <c r="I93" s="148"/>
      <c r="K93" s="6"/>
    </row>
    <row r="94" spans="2:11" ht="14.25" customHeight="1" x14ac:dyDescent="0.2">
      <c r="B94" s="67"/>
      <c r="C94" s="67"/>
      <c r="D94" s="67"/>
      <c r="E94" s="67"/>
      <c r="F94" s="67"/>
      <c r="G94" s="67"/>
      <c r="H94" s="67"/>
      <c r="I94" s="67"/>
      <c r="K94" s="6"/>
    </row>
    <row r="95" spans="2:11" ht="14.25" customHeight="1" x14ac:dyDescent="0.2">
      <c r="B95" s="148" t="s">
        <v>72</v>
      </c>
      <c r="C95" s="148"/>
      <c r="D95" s="148"/>
      <c r="E95" s="148"/>
      <c r="F95" s="148"/>
      <c r="G95" s="148"/>
      <c r="H95" s="148"/>
      <c r="I95" s="148"/>
    </row>
    <row r="96" spans="2:11" ht="14.25" customHeight="1" x14ac:dyDescent="0.2">
      <c r="B96" s="41"/>
      <c r="C96" s="41"/>
      <c r="D96" s="41"/>
      <c r="E96" s="41"/>
      <c r="F96" s="41"/>
      <c r="G96" s="41"/>
      <c r="H96" s="41"/>
      <c r="I96" s="41"/>
    </row>
    <row r="97" spans="2:11" ht="14.25" customHeight="1" x14ac:dyDescent="0.2">
      <c r="B97" s="41"/>
      <c r="C97" s="41"/>
      <c r="D97" s="41"/>
      <c r="E97" s="41"/>
      <c r="F97" s="41"/>
      <c r="G97" s="41"/>
      <c r="H97" s="41"/>
      <c r="I97" s="41"/>
    </row>
    <row r="98" spans="2:11" ht="14.25" customHeight="1" x14ac:dyDescent="0.2">
      <c r="B98" s="41"/>
      <c r="C98" s="41"/>
      <c r="D98" s="41"/>
      <c r="E98" s="41"/>
      <c r="F98" s="41"/>
      <c r="G98" s="41"/>
      <c r="H98" s="41"/>
      <c r="I98" s="41"/>
    </row>
    <row r="99" spans="2:11" x14ac:dyDescent="0.2">
      <c r="B99" s="23"/>
    </row>
    <row r="100" spans="2:11" ht="170.25" customHeight="1" x14ac:dyDescent="0.2">
      <c r="B100" s="10"/>
      <c r="C100" s="10"/>
      <c r="D100" s="10"/>
      <c r="E100" s="10"/>
      <c r="F100" s="10"/>
      <c r="G100" s="142" t="s">
        <v>73</v>
      </c>
      <c r="H100" s="142"/>
      <c r="I100" s="142"/>
    </row>
    <row r="101" spans="2:11" x14ac:dyDescent="0.2">
      <c r="B101" s="181"/>
      <c r="C101" s="181"/>
      <c r="D101" s="181"/>
      <c r="E101" s="181"/>
      <c r="F101" s="181"/>
      <c r="G101" s="181"/>
      <c r="H101" s="181"/>
      <c r="I101" s="181"/>
      <c r="K101" s="6" t="s">
        <v>4</v>
      </c>
    </row>
    <row r="102" spans="2:11" x14ac:dyDescent="0.2">
      <c r="B102" s="42"/>
      <c r="C102" s="42"/>
      <c r="D102" s="42"/>
      <c r="E102" s="42"/>
      <c r="F102" s="42"/>
      <c r="G102" s="42"/>
      <c r="H102" s="42"/>
      <c r="I102" s="42"/>
      <c r="K102" s="6"/>
    </row>
    <row r="139" spans="2:2" x14ac:dyDescent="0.2">
      <c r="B139" t="s">
        <v>71</v>
      </c>
    </row>
  </sheetData>
  <mergeCells count="47">
    <mergeCell ref="B101:I101"/>
    <mergeCell ref="B73:F73"/>
    <mergeCell ref="B74:F74"/>
    <mergeCell ref="B75:F75"/>
    <mergeCell ref="B76:F76"/>
    <mergeCell ref="G76:H76"/>
    <mergeCell ref="G77:H77"/>
    <mergeCell ref="G78:H78"/>
    <mergeCell ref="B92:I93"/>
    <mergeCell ref="B95:I95"/>
    <mergeCell ref="G100:I100"/>
    <mergeCell ref="B67:F67"/>
    <mergeCell ref="B69:F69"/>
    <mergeCell ref="B70:F70"/>
    <mergeCell ref="B71:F71"/>
    <mergeCell ref="H41:H45"/>
    <mergeCell ref="I41:I45"/>
    <mergeCell ref="J41:J44"/>
    <mergeCell ref="B46:F47"/>
    <mergeCell ref="B48:F48"/>
    <mergeCell ref="B66:F66"/>
    <mergeCell ref="B55:F57"/>
    <mergeCell ref="B58:F58"/>
    <mergeCell ref="B59:F59"/>
    <mergeCell ref="B60:F61"/>
    <mergeCell ref="B62:F62"/>
    <mergeCell ref="B51:F53"/>
    <mergeCell ref="B29:F30"/>
    <mergeCell ref="B19:F19"/>
    <mergeCell ref="B21:F22"/>
    <mergeCell ref="B23:F23"/>
    <mergeCell ref="B24:F24"/>
    <mergeCell ref="B25:F25"/>
    <mergeCell ref="B26:F26"/>
    <mergeCell ref="B27:F28"/>
    <mergeCell ref="B31:F32"/>
    <mergeCell ref="B33:F34"/>
    <mergeCell ref="B35:F36"/>
    <mergeCell ref="B50:F50"/>
    <mergeCell ref="B37:F40"/>
    <mergeCell ref="B41:F45"/>
    <mergeCell ref="B17:F17"/>
    <mergeCell ref="G4:H4"/>
    <mergeCell ref="G5:H5"/>
    <mergeCell ref="G6:H6"/>
    <mergeCell ref="G7:H7"/>
    <mergeCell ref="A9:D9"/>
  </mergeCells>
  <hyperlinks>
    <hyperlink ref="K3" r:id="rId1" display="https://www.vertex42.com/ExcelTemplates/quote-template.html" xr:uid="{F8CAC486-FDB8-4E29-BED1-B1F6D8138E31}"/>
  </hyperlinks>
  <printOptions horizontalCentered="1"/>
  <pageMargins left="0.5" right="0.5" top="0.5" bottom="0.5" header="0.5" footer="0.25"/>
  <pageSetup fitToHeight="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1E6D-9A14-4659-8362-5E7AE8163757}">
  <dimension ref="A1:R136"/>
  <sheetViews>
    <sheetView showGridLines="0" showRuler="0" zoomScale="87" zoomScaleNormal="87" zoomScalePageLayoutView="70" workbookViewId="0">
      <selection activeCell="J70" sqref="J70"/>
    </sheetView>
  </sheetViews>
  <sheetFormatPr defaultRowHeight="14.25" x14ac:dyDescent="0.2"/>
  <cols>
    <col min="1" max="1" width="3.375" customWidth="1"/>
    <col min="2" max="2" width="3" customWidth="1"/>
    <col min="3" max="3" width="12.625" customWidth="1"/>
    <col min="4" max="4" width="17.625" customWidth="1"/>
    <col min="5" max="7" width="6.625" customWidth="1"/>
    <col min="8" max="8" width="12.625" customWidth="1"/>
    <col min="9" max="9" width="17.625" customWidth="1"/>
    <col min="11" max="11" width="22.375" customWidth="1"/>
    <col min="12" max="12" width="13.375" bestFit="1" customWidth="1"/>
    <col min="13" max="13" width="11.375" customWidth="1"/>
    <col min="14" max="14" width="11.5" customWidth="1"/>
  </cols>
  <sheetData>
    <row r="1" spans="1:11" ht="36" x14ac:dyDescent="0.2">
      <c r="A1" s="8" t="s">
        <v>16</v>
      </c>
      <c r="C1" s="8"/>
      <c r="D1" s="8"/>
      <c r="E1" s="8"/>
      <c r="F1" s="3"/>
      <c r="H1" s="7"/>
      <c r="I1" s="18" t="s">
        <v>6</v>
      </c>
    </row>
    <row r="2" spans="1:11" x14ac:dyDescent="0.2">
      <c r="A2" s="9" t="s">
        <v>17</v>
      </c>
      <c r="C2" s="9"/>
      <c r="D2" s="9"/>
      <c r="E2" s="2"/>
      <c r="F2" s="9"/>
      <c r="G2" s="2"/>
      <c r="H2" s="10"/>
      <c r="I2" s="10"/>
      <c r="K2" s="1" t="s">
        <v>11</v>
      </c>
    </row>
    <row r="3" spans="1:11" x14ac:dyDescent="0.2">
      <c r="A3" s="9" t="s">
        <v>18</v>
      </c>
      <c r="C3" s="9"/>
      <c r="D3" s="9"/>
      <c r="E3" s="2"/>
      <c r="F3" s="9"/>
      <c r="K3" s="17" t="s">
        <v>10</v>
      </c>
    </row>
    <row r="4" spans="1:11" x14ac:dyDescent="0.2">
      <c r="A4" s="9" t="s">
        <v>19</v>
      </c>
      <c r="C4" s="14"/>
      <c r="D4" s="14"/>
      <c r="E4" s="2"/>
      <c r="F4" s="9"/>
      <c r="G4" s="122" t="s">
        <v>7</v>
      </c>
      <c r="H4" s="122"/>
      <c r="I4" s="15" t="s">
        <v>0</v>
      </c>
      <c r="K4" s="1"/>
    </row>
    <row r="5" spans="1:11" x14ac:dyDescent="0.2">
      <c r="A5" s="2" t="s">
        <v>20</v>
      </c>
      <c r="C5" s="2"/>
      <c r="D5" s="2"/>
      <c r="E5" s="2"/>
      <c r="F5" s="9"/>
      <c r="G5" s="157">
        <v>2292</v>
      </c>
      <c r="H5" s="157"/>
      <c r="I5" s="13">
        <v>44827</v>
      </c>
      <c r="K5" s="6" t="s">
        <v>3</v>
      </c>
    </row>
    <row r="6" spans="1:11" x14ac:dyDescent="0.2">
      <c r="A6" s="9" t="s">
        <v>21</v>
      </c>
      <c r="C6" s="9"/>
      <c r="D6" s="9"/>
      <c r="E6" s="2"/>
      <c r="F6" s="9"/>
      <c r="G6" s="122" t="s">
        <v>9</v>
      </c>
      <c r="H6" s="122"/>
      <c r="I6" s="15" t="s">
        <v>8</v>
      </c>
      <c r="K6" s="6"/>
    </row>
    <row r="7" spans="1:11" x14ac:dyDescent="0.2">
      <c r="B7" s="2"/>
      <c r="C7" s="2"/>
      <c r="D7" s="2"/>
      <c r="E7" s="2"/>
      <c r="F7" s="9"/>
      <c r="G7" s="157"/>
      <c r="H7" s="157"/>
      <c r="I7" s="19">
        <f>I5+15</f>
        <v>44842</v>
      </c>
      <c r="K7" s="1"/>
    </row>
    <row r="8" spans="1:11" ht="18" customHeight="1" x14ac:dyDescent="0.2">
      <c r="B8" s="2"/>
      <c r="C8" s="2"/>
      <c r="D8" s="2"/>
      <c r="E8" s="2"/>
      <c r="F8" s="9"/>
      <c r="G8" s="20"/>
      <c r="H8" s="20"/>
      <c r="I8" s="21"/>
      <c r="K8" s="1"/>
    </row>
    <row r="9" spans="1:11" ht="20.100000000000001" customHeight="1" x14ac:dyDescent="0.2">
      <c r="A9" s="133" t="s">
        <v>29</v>
      </c>
      <c r="B9" s="134"/>
      <c r="C9" s="134"/>
      <c r="D9" s="134"/>
      <c r="E9" s="9"/>
      <c r="H9" s="22" t="s">
        <v>28</v>
      </c>
      <c r="I9" s="25"/>
      <c r="K9" s="5"/>
    </row>
    <row r="10" spans="1:11" ht="14.25" customHeight="1" x14ac:dyDescent="0.2">
      <c r="A10" s="9" t="s">
        <v>22</v>
      </c>
      <c r="C10" s="9"/>
      <c r="D10" s="9"/>
      <c r="E10" s="9"/>
      <c r="H10" s="22"/>
      <c r="I10" s="25"/>
      <c r="K10" s="5"/>
    </row>
    <row r="11" spans="1:11" x14ac:dyDescent="0.2">
      <c r="A11" s="9" t="s">
        <v>23</v>
      </c>
      <c r="C11" s="9"/>
      <c r="D11" s="9"/>
      <c r="E11" s="9"/>
      <c r="H11" s="22"/>
      <c r="I11" s="25"/>
      <c r="K11" s="5"/>
    </row>
    <row r="12" spans="1:11" x14ac:dyDescent="0.2">
      <c r="A12" s="9" t="s">
        <v>24</v>
      </c>
      <c r="C12" s="9"/>
      <c r="D12" s="9"/>
      <c r="E12" s="9"/>
    </row>
    <row r="13" spans="1:11" x14ac:dyDescent="0.2">
      <c r="A13" s="9" t="s">
        <v>25</v>
      </c>
      <c r="C13" s="9"/>
      <c r="D13" s="9"/>
      <c r="E13" s="9"/>
    </row>
    <row r="14" spans="1:11" x14ac:dyDescent="0.2">
      <c r="A14" s="9" t="s">
        <v>26</v>
      </c>
      <c r="C14" s="9"/>
      <c r="D14" s="9"/>
      <c r="E14" s="9"/>
    </row>
    <row r="15" spans="1:11" x14ac:dyDescent="0.2">
      <c r="A15" s="2" t="s">
        <v>27</v>
      </c>
      <c r="C15" s="2"/>
      <c r="D15" s="2"/>
      <c r="E15" s="2"/>
      <c r="F15" s="2"/>
    </row>
    <row r="16" spans="1:11" x14ac:dyDescent="0.2">
      <c r="B16" s="9"/>
      <c r="C16" s="9"/>
      <c r="D16" s="9"/>
      <c r="E16" s="9"/>
      <c r="F16" s="2"/>
      <c r="G16" s="2"/>
      <c r="H16" s="2"/>
      <c r="I16" s="2"/>
      <c r="K16" s="5"/>
    </row>
    <row r="17" spans="1:11" ht="20.100000000000001" customHeight="1" x14ac:dyDescent="0.2">
      <c r="A17" s="27" t="s">
        <v>31</v>
      </c>
      <c r="B17" s="135" t="s">
        <v>30</v>
      </c>
      <c r="C17" s="136"/>
      <c r="D17" s="136"/>
      <c r="E17" s="136"/>
      <c r="F17" s="137"/>
      <c r="G17" s="15" t="s">
        <v>34</v>
      </c>
      <c r="H17" s="15" t="s">
        <v>32</v>
      </c>
      <c r="I17" s="15" t="s">
        <v>33</v>
      </c>
      <c r="K17" s="5"/>
    </row>
    <row r="18" spans="1:11" ht="18.75" customHeight="1" x14ac:dyDescent="0.2">
      <c r="B18" s="138"/>
      <c r="C18" s="139"/>
      <c r="D18" s="139"/>
      <c r="E18" s="139"/>
      <c r="F18" s="140"/>
      <c r="G18" s="40"/>
      <c r="H18" s="11"/>
      <c r="I18" s="24"/>
      <c r="K18" s="6"/>
    </row>
    <row r="19" spans="1:11" ht="28.5" customHeight="1" x14ac:dyDescent="0.2">
      <c r="B19" s="123" t="s">
        <v>36</v>
      </c>
      <c r="C19" s="124"/>
      <c r="D19" s="124"/>
      <c r="E19" s="124"/>
      <c r="F19" s="125"/>
      <c r="G19" s="12"/>
      <c r="H19" s="11"/>
      <c r="I19" s="24"/>
      <c r="J19" s="16"/>
      <c r="K19" s="6"/>
    </row>
    <row r="20" spans="1:11" ht="13.5" customHeight="1" x14ac:dyDescent="0.2">
      <c r="B20" s="35"/>
      <c r="C20" s="46"/>
      <c r="D20" s="46"/>
      <c r="E20" s="46"/>
      <c r="F20" s="36"/>
      <c r="G20" s="12"/>
      <c r="H20" s="11"/>
      <c r="I20" s="24"/>
      <c r="J20" s="16"/>
      <c r="K20" s="6"/>
    </row>
    <row r="21" spans="1:11" x14ac:dyDescent="0.2">
      <c r="A21" s="47">
        <v>1</v>
      </c>
      <c r="B21" s="184" t="s">
        <v>35</v>
      </c>
      <c r="C21" s="127"/>
      <c r="D21" s="127"/>
      <c r="E21" s="127"/>
      <c r="F21" s="128"/>
      <c r="G21" s="48">
        <v>1</v>
      </c>
      <c r="H21" s="49">
        <v>400</v>
      </c>
      <c r="I21" s="50">
        <v>400</v>
      </c>
      <c r="J21" s="16">
        <v>400</v>
      </c>
      <c r="K21" s="6"/>
    </row>
    <row r="22" spans="1:11" ht="45.75" customHeight="1" x14ac:dyDescent="0.2">
      <c r="A22" s="47">
        <v>2</v>
      </c>
      <c r="B22" s="126" t="s">
        <v>82</v>
      </c>
      <c r="C22" s="141"/>
      <c r="D22" s="141"/>
      <c r="E22" s="141"/>
      <c r="F22" s="153"/>
      <c r="G22" s="48">
        <v>1</v>
      </c>
      <c r="H22" s="49">
        <v>450</v>
      </c>
      <c r="I22" s="50">
        <v>450</v>
      </c>
      <c r="J22" s="75">
        <v>600</v>
      </c>
      <c r="K22" s="6"/>
    </row>
    <row r="23" spans="1:11" ht="14.25" customHeight="1" x14ac:dyDescent="0.2">
      <c r="A23" s="189">
        <v>3</v>
      </c>
      <c r="B23" s="126" t="s">
        <v>58</v>
      </c>
      <c r="C23" s="141"/>
      <c r="D23" s="141"/>
      <c r="E23" s="141"/>
      <c r="F23" s="153"/>
      <c r="G23" s="186">
        <v>1</v>
      </c>
      <c r="H23" s="187">
        <v>180</v>
      </c>
      <c r="I23" s="188">
        <v>180</v>
      </c>
      <c r="J23" s="16">
        <v>200</v>
      </c>
      <c r="K23" s="5"/>
    </row>
    <row r="24" spans="1:11" x14ac:dyDescent="0.2">
      <c r="A24" s="189"/>
      <c r="B24" s="126"/>
      <c r="C24" s="141"/>
      <c r="D24" s="141"/>
      <c r="E24" s="141"/>
      <c r="F24" s="153"/>
      <c r="G24" s="186"/>
      <c r="H24" s="187"/>
      <c r="I24" s="188"/>
      <c r="J24" s="16"/>
      <c r="K24" s="6"/>
    </row>
    <row r="25" spans="1:11" x14ac:dyDescent="0.2">
      <c r="A25" s="47">
        <v>4</v>
      </c>
      <c r="B25" s="126" t="s">
        <v>37</v>
      </c>
      <c r="C25" s="141"/>
      <c r="D25" s="141"/>
      <c r="E25" s="141"/>
      <c r="F25" s="153"/>
      <c r="G25" s="186">
        <v>1</v>
      </c>
      <c r="H25" s="187">
        <v>65</v>
      </c>
      <c r="I25" s="188">
        <v>65</v>
      </c>
      <c r="J25" s="16">
        <v>86</v>
      </c>
      <c r="K25" s="5"/>
    </row>
    <row r="26" spans="1:11" x14ac:dyDescent="0.2">
      <c r="A26" s="16"/>
      <c r="B26" s="126"/>
      <c r="C26" s="141"/>
      <c r="D26" s="141"/>
      <c r="E26" s="141"/>
      <c r="F26" s="153"/>
      <c r="G26" s="186"/>
      <c r="H26" s="187"/>
      <c r="I26" s="188"/>
      <c r="J26" s="16"/>
      <c r="K26" s="5"/>
    </row>
    <row r="27" spans="1:11" ht="14.25" customHeight="1" x14ac:dyDescent="0.2">
      <c r="A27" s="47">
        <v>5</v>
      </c>
      <c r="B27" s="126" t="s">
        <v>69</v>
      </c>
      <c r="C27" s="141"/>
      <c r="D27" s="141"/>
      <c r="E27" s="141"/>
      <c r="F27" s="153"/>
      <c r="G27" s="48">
        <v>1</v>
      </c>
      <c r="H27" s="49">
        <v>20</v>
      </c>
      <c r="I27" s="50">
        <v>20</v>
      </c>
      <c r="J27" s="16">
        <v>20</v>
      </c>
      <c r="K27" s="5"/>
    </row>
    <row r="28" spans="1:11" x14ac:dyDescent="0.2">
      <c r="B28" s="43"/>
      <c r="C28" s="44"/>
      <c r="D28" s="44"/>
      <c r="E28" s="44"/>
      <c r="F28" s="45"/>
      <c r="G28" s="12"/>
      <c r="H28" s="11"/>
      <c r="I28" s="24"/>
      <c r="J28" s="16"/>
      <c r="K28" s="5"/>
    </row>
    <row r="29" spans="1:11" x14ac:dyDescent="0.2">
      <c r="B29" s="43"/>
      <c r="C29" s="44"/>
      <c r="D29" s="44"/>
      <c r="E29" s="44"/>
      <c r="F29" s="45"/>
      <c r="G29" s="12"/>
      <c r="H29" s="11"/>
      <c r="I29" s="24"/>
      <c r="J29" s="16"/>
      <c r="K29" s="5"/>
    </row>
    <row r="30" spans="1:11" x14ac:dyDescent="0.2">
      <c r="B30" s="58"/>
      <c r="C30" s="57"/>
      <c r="D30" s="57"/>
      <c r="E30" s="57"/>
      <c r="F30" s="59"/>
      <c r="G30" s="60"/>
      <c r="H30" s="60"/>
      <c r="I30" s="60"/>
      <c r="J30" s="16"/>
      <c r="K30" s="5"/>
    </row>
    <row r="31" spans="1:11" ht="38.25" customHeight="1" x14ac:dyDescent="0.2">
      <c r="A31" s="29"/>
      <c r="B31" s="123" t="s">
        <v>54</v>
      </c>
      <c r="C31" s="124"/>
      <c r="D31" s="124"/>
      <c r="E31" s="124"/>
      <c r="F31" s="125"/>
      <c r="G31" s="12"/>
      <c r="H31" s="11"/>
      <c r="I31" s="24"/>
      <c r="J31" s="16"/>
      <c r="K31" s="5"/>
    </row>
    <row r="32" spans="1:11" ht="10.5" customHeight="1" x14ac:dyDescent="0.2">
      <c r="A32" s="29"/>
      <c r="B32" s="37"/>
      <c r="C32" s="38"/>
      <c r="D32" s="38"/>
      <c r="E32" s="38"/>
      <c r="F32" s="39"/>
      <c r="G32" s="12"/>
      <c r="H32" s="11"/>
      <c r="I32" s="24"/>
      <c r="J32" s="16"/>
      <c r="K32" s="5"/>
    </row>
    <row r="33" spans="1:12" x14ac:dyDescent="0.2">
      <c r="A33" s="51">
        <v>1</v>
      </c>
      <c r="B33" s="184" t="s">
        <v>35</v>
      </c>
      <c r="C33" s="127"/>
      <c r="D33" s="127"/>
      <c r="E33" s="127"/>
      <c r="F33" s="128"/>
      <c r="G33" s="48">
        <v>2</v>
      </c>
      <c r="H33" s="55">
        <v>400</v>
      </c>
      <c r="I33" s="56">
        <v>0</v>
      </c>
      <c r="J33" s="16">
        <v>400</v>
      </c>
      <c r="K33" s="5"/>
    </row>
    <row r="34" spans="1:12" x14ac:dyDescent="0.2">
      <c r="A34" s="51">
        <v>2</v>
      </c>
      <c r="B34" s="126" t="s">
        <v>82</v>
      </c>
      <c r="C34" s="141"/>
      <c r="D34" s="141"/>
      <c r="E34" s="141"/>
      <c r="F34" s="153"/>
      <c r="G34" s="186">
        <v>2</v>
      </c>
      <c r="H34" s="55">
        <v>450</v>
      </c>
      <c r="I34" s="56">
        <v>0</v>
      </c>
      <c r="J34" s="75">
        <v>600</v>
      </c>
      <c r="K34" s="5"/>
    </row>
    <row r="35" spans="1:12" x14ac:dyDescent="0.2">
      <c r="A35" s="51"/>
      <c r="B35" s="126"/>
      <c r="C35" s="141"/>
      <c r="D35" s="141"/>
      <c r="E35" s="141"/>
      <c r="F35" s="153"/>
      <c r="G35" s="186"/>
      <c r="H35" s="55"/>
      <c r="I35" s="56"/>
      <c r="K35" s="5"/>
    </row>
    <row r="36" spans="1:12" x14ac:dyDescent="0.2">
      <c r="A36" s="51"/>
      <c r="B36" s="126"/>
      <c r="C36" s="141"/>
      <c r="D36" s="141"/>
      <c r="E36" s="141"/>
      <c r="F36" s="153"/>
      <c r="G36" s="186"/>
      <c r="H36" s="55"/>
      <c r="I36" s="56"/>
      <c r="K36" s="5"/>
    </row>
    <row r="37" spans="1:12" x14ac:dyDescent="0.2">
      <c r="A37" s="51">
        <v>3</v>
      </c>
      <c r="B37" s="126" t="s">
        <v>58</v>
      </c>
      <c r="C37" s="141"/>
      <c r="D37" s="141"/>
      <c r="E37" s="141"/>
      <c r="F37" s="153"/>
      <c r="G37" s="186">
        <v>2</v>
      </c>
      <c r="H37" s="55">
        <v>180</v>
      </c>
      <c r="I37" s="56">
        <v>0</v>
      </c>
      <c r="J37" s="16">
        <v>200</v>
      </c>
      <c r="K37" s="5"/>
    </row>
    <row r="38" spans="1:12" x14ac:dyDescent="0.2">
      <c r="A38" s="51"/>
      <c r="B38" s="126"/>
      <c r="C38" s="141"/>
      <c r="D38" s="141"/>
      <c r="E38" s="141"/>
      <c r="F38" s="153"/>
      <c r="G38" s="186"/>
      <c r="H38" s="55"/>
      <c r="I38" s="56"/>
      <c r="J38" s="16"/>
      <c r="K38" s="5"/>
      <c r="L38" s="70">
        <f>SUM(I33:I60)</f>
        <v>2642</v>
      </c>
    </row>
    <row r="39" spans="1:12" x14ac:dyDescent="0.2">
      <c r="A39" s="51">
        <v>4</v>
      </c>
      <c r="B39" s="126" t="s">
        <v>37</v>
      </c>
      <c r="C39" s="141"/>
      <c r="D39" s="141"/>
      <c r="E39" s="141"/>
      <c r="F39" s="153"/>
      <c r="G39" s="185">
        <v>2</v>
      </c>
      <c r="H39" s="55">
        <v>65</v>
      </c>
      <c r="I39" s="56">
        <v>0</v>
      </c>
      <c r="J39" s="16">
        <v>86</v>
      </c>
      <c r="K39" s="5"/>
    </row>
    <row r="40" spans="1:12" x14ac:dyDescent="0.2">
      <c r="A40" s="51"/>
      <c r="B40" s="126"/>
      <c r="C40" s="141"/>
      <c r="D40" s="141"/>
      <c r="E40" s="141"/>
      <c r="F40" s="153"/>
      <c r="G40" s="185"/>
      <c r="H40" s="55"/>
      <c r="I40" s="56"/>
      <c r="J40" s="16"/>
      <c r="K40" s="5"/>
    </row>
    <row r="41" spans="1:12" x14ac:dyDescent="0.2">
      <c r="A41" s="51">
        <v>5</v>
      </c>
      <c r="B41" s="126" t="s">
        <v>69</v>
      </c>
      <c r="C41" s="141"/>
      <c r="D41" s="141"/>
      <c r="E41" s="141"/>
      <c r="F41" s="153"/>
      <c r="G41" s="48">
        <v>2</v>
      </c>
      <c r="H41" s="55">
        <v>20</v>
      </c>
      <c r="I41" s="56">
        <v>0</v>
      </c>
      <c r="J41" s="16">
        <v>20</v>
      </c>
      <c r="K41" s="5"/>
    </row>
    <row r="42" spans="1:12" x14ac:dyDescent="0.2">
      <c r="A42" s="51"/>
      <c r="B42" s="126"/>
      <c r="C42" s="141"/>
      <c r="D42" s="141"/>
      <c r="E42" s="141"/>
      <c r="F42" s="153"/>
      <c r="G42" s="48"/>
      <c r="H42" s="55"/>
      <c r="I42" s="56"/>
      <c r="J42" s="16"/>
      <c r="K42" s="5"/>
    </row>
    <row r="43" spans="1:12" x14ac:dyDescent="0.2">
      <c r="A43" s="51"/>
      <c r="B43" s="126"/>
      <c r="C43" s="141"/>
      <c r="D43" s="141"/>
      <c r="E43" s="141"/>
      <c r="F43" s="153"/>
      <c r="G43" s="48"/>
      <c r="H43" s="55"/>
      <c r="I43" s="56"/>
      <c r="J43" s="16"/>
      <c r="K43" s="5"/>
    </row>
    <row r="44" spans="1:12" x14ac:dyDescent="0.2">
      <c r="A44" s="51"/>
      <c r="B44" s="126"/>
      <c r="C44" s="141"/>
      <c r="D44" s="141"/>
      <c r="E44" s="141"/>
      <c r="F44" s="153"/>
      <c r="G44" s="48"/>
      <c r="H44" s="55"/>
      <c r="I44" s="56"/>
      <c r="J44" s="16"/>
      <c r="K44" s="5"/>
    </row>
    <row r="45" spans="1:12" x14ac:dyDescent="0.2">
      <c r="A45" s="51"/>
      <c r="B45" s="126"/>
      <c r="C45" s="141"/>
      <c r="D45" s="141"/>
      <c r="E45" s="141"/>
      <c r="F45" s="153"/>
      <c r="G45" s="52"/>
      <c r="H45" s="53"/>
      <c r="I45" s="54"/>
      <c r="J45" s="16"/>
      <c r="K45" s="5"/>
    </row>
    <row r="46" spans="1:12" x14ac:dyDescent="0.2">
      <c r="A46" s="27" t="s">
        <v>31</v>
      </c>
      <c r="B46" s="154" t="s">
        <v>30</v>
      </c>
      <c r="C46" s="155"/>
      <c r="D46" s="155"/>
      <c r="E46" s="155"/>
      <c r="F46" s="156"/>
      <c r="G46" s="15" t="s">
        <v>34</v>
      </c>
      <c r="H46" s="15" t="s">
        <v>32</v>
      </c>
      <c r="I46" s="15" t="s">
        <v>33</v>
      </c>
      <c r="J46" s="16"/>
      <c r="K46" s="5"/>
    </row>
    <row r="47" spans="1:12" ht="14.25" customHeight="1" x14ac:dyDescent="0.2">
      <c r="A47" s="29"/>
      <c r="B47" s="123" t="s">
        <v>55</v>
      </c>
      <c r="C47" s="124"/>
      <c r="D47" s="124"/>
      <c r="E47" s="124"/>
      <c r="F47" s="125"/>
      <c r="G47" s="12"/>
      <c r="H47" s="11"/>
      <c r="I47" s="24"/>
      <c r="J47" s="16"/>
      <c r="K47" s="5"/>
    </row>
    <row r="48" spans="1:12" ht="14.25" customHeight="1" x14ac:dyDescent="0.2">
      <c r="A48" s="29"/>
      <c r="B48" s="123"/>
      <c r="C48" s="124"/>
      <c r="D48" s="124"/>
      <c r="E48" s="124"/>
      <c r="F48" s="125"/>
      <c r="G48" s="12"/>
      <c r="H48" s="11"/>
      <c r="I48" s="24"/>
      <c r="J48" s="16"/>
      <c r="K48" s="5"/>
    </row>
    <row r="49" spans="1:11" ht="21" customHeight="1" x14ac:dyDescent="0.2">
      <c r="A49" s="29"/>
      <c r="B49" s="123"/>
      <c r="C49" s="124"/>
      <c r="D49" s="124"/>
      <c r="E49" s="124"/>
      <c r="F49" s="125"/>
      <c r="G49" s="12"/>
      <c r="H49" s="11"/>
      <c r="I49" s="24"/>
      <c r="J49" s="16"/>
      <c r="K49" s="5"/>
    </row>
    <row r="50" spans="1:11" ht="4.5" customHeight="1" x14ac:dyDescent="0.2">
      <c r="A50" s="29"/>
      <c r="B50" s="123"/>
      <c r="C50" s="124"/>
      <c r="D50" s="124"/>
      <c r="E50" s="124"/>
      <c r="F50" s="125"/>
      <c r="G50" s="12"/>
      <c r="H50" s="11"/>
      <c r="I50" s="24"/>
      <c r="J50" s="16"/>
      <c r="K50" s="5"/>
    </row>
    <row r="51" spans="1:11" ht="7.5" hidden="1" customHeight="1" x14ac:dyDescent="0.2">
      <c r="A51" s="29"/>
      <c r="B51" s="123"/>
      <c r="C51" s="124"/>
      <c r="D51" s="124"/>
      <c r="E51" s="124"/>
      <c r="F51" s="125"/>
      <c r="G51" s="12"/>
      <c r="H51" s="11"/>
      <c r="I51" s="24"/>
      <c r="J51" s="16"/>
      <c r="K51" s="5"/>
    </row>
    <row r="52" spans="1:11" x14ac:dyDescent="0.2">
      <c r="A52" s="51">
        <v>1</v>
      </c>
      <c r="B52" s="126" t="s">
        <v>56</v>
      </c>
      <c r="C52" s="141"/>
      <c r="D52" s="141"/>
      <c r="E52" s="141"/>
      <c r="F52" s="153"/>
      <c r="G52" s="48">
        <v>1</v>
      </c>
      <c r="H52" s="49">
        <v>299</v>
      </c>
      <c r="I52" s="50">
        <v>299</v>
      </c>
      <c r="J52" s="16">
        <v>229</v>
      </c>
      <c r="K52" s="5"/>
    </row>
    <row r="53" spans="1:11" x14ac:dyDescent="0.2">
      <c r="A53" s="51">
        <v>2</v>
      </c>
      <c r="B53" s="126" t="s">
        <v>59</v>
      </c>
      <c r="C53" s="141"/>
      <c r="D53" s="141"/>
      <c r="E53" s="141"/>
      <c r="F53" s="153"/>
      <c r="G53" s="48">
        <v>1</v>
      </c>
      <c r="H53" s="49">
        <v>429</v>
      </c>
      <c r="I53" s="50">
        <v>429</v>
      </c>
      <c r="J53" s="16">
        <v>325</v>
      </c>
      <c r="K53" s="5"/>
    </row>
    <row r="54" spans="1:11" x14ac:dyDescent="0.2">
      <c r="A54" s="51">
        <v>3</v>
      </c>
      <c r="B54" s="184" t="s">
        <v>77</v>
      </c>
      <c r="C54" s="127"/>
      <c r="D54" s="127"/>
      <c r="E54" s="127"/>
      <c r="F54" s="128"/>
      <c r="G54" s="48">
        <v>1</v>
      </c>
      <c r="H54" s="49">
        <v>409</v>
      </c>
      <c r="I54" s="50">
        <v>409</v>
      </c>
      <c r="J54" s="16">
        <v>200</v>
      </c>
      <c r="K54" s="5"/>
    </row>
    <row r="55" spans="1:11" x14ac:dyDescent="0.2">
      <c r="A55" s="51">
        <v>4</v>
      </c>
      <c r="B55" s="126" t="s">
        <v>62</v>
      </c>
      <c r="C55" s="141"/>
      <c r="D55" s="141"/>
      <c r="E55" s="141"/>
      <c r="F55" s="153"/>
      <c r="G55" s="48">
        <v>3</v>
      </c>
      <c r="H55" s="49">
        <v>50</v>
      </c>
      <c r="I55" s="50">
        <v>150</v>
      </c>
      <c r="J55" s="16">
        <v>56.7</v>
      </c>
      <c r="K55" s="5"/>
    </row>
    <row r="56" spans="1:11" x14ac:dyDescent="0.2">
      <c r="A56" s="51">
        <v>5</v>
      </c>
      <c r="B56" s="126" t="s">
        <v>65</v>
      </c>
      <c r="C56" s="141"/>
      <c r="D56" s="141"/>
      <c r="E56" s="141"/>
      <c r="F56" s="153"/>
      <c r="G56" s="48">
        <v>1</v>
      </c>
      <c r="H56" s="49">
        <v>350</v>
      </c>
      <c r="I56" s="50">
        <v>350</v>
      </c>
      <c r="J56" s="16">
        <v>200</v>
      </c>
      <c r="K56" s="5" t="s">
        <v>66</v>
      </c>
    </row>
    <row r="57" spans="1:11" ht="14.25" customHeight="1" x14ac:dyDescent="0.2">
      <c r="A57" s="51">
        <v>6</v>
      </c>
      <c r="B57" s="126" t="s">
        <v>68</v>
      </c>
      <c r="C57" s="141"/>
      <c r="D57" s="141"/>
      <c r="E57" s="141"/>
      <c r="F57" s="153"/>
      <c r="G57" s="48">
        <v>4</v>
      </c>
      <c r="H57" s="49">
        <v>180</v>
      </c>
      <c r="I57" s="50">
        <v>720</v>
      </c>
      <c r="J57" s="16">
        <v>400</v>
      </c>
      <c r="K57" s="5"/>
    </row>
    <row r="58" spans="1:11" ht="14.25" customHeight="1" x14ac:dyDescent="0.2">
      <c r="A58" s="51">
        <v>7</v>
      </c>
      <c r="B58" s="126" t="s">
        <v>84</v>
      </c>
      <c r="C58" s="141"/>
      <c r="D58" s="141"/>
      <c r="E58" s="141"/>
      <c r="F58" s="153"/>
      <c r="G58" s="48">
        <v>1</v>
      </c>
      <c r="H58" s="49">
        <v>285</v>
      </c>
      <c r="I58" s="50">
        <v>285</v>
      </c>
      <c r="J58" s="16">
        <v>150</v>
      </c>
      <c r="K58" s="5"/>
    </row>
    <row r="59" spans="1:11" ht="14.25" customHeight="1" x14ac:dyDescent="0.2">
      <c r="A59" s="51"/>
      <c r="B59" s="126"/>
      <c r="C59" s="141"/>
      <c r="D59" s="141"/>
      <c r="E59" s="141"/>
      <c r="F59" s="153"/>
      <c r="G59" s="48"/>
      <c r="H59" s="49"/>
      <c r="I59" s="50"/>
      <c r="J59" s="16"/>
      <c r="K59" s="5"/>
    </row>
    <row r="60" spans="1:11" ht="14.25" customHeight="1" x14ac:dyDescent="0.2">
      <c r="A60" s="51"/>
      <c r="B60" s="126"/>
      <c r="C60" s="141"/>
      <c r="D60" s="141"/>
      <c r="E60" s="141"/>
      <c r="F60" s="153"/>
      <c r="G60" s="48"/>
      <c r="H60" s="49"/>
      <c r="I60" s="50"/>
      <c r="J60" s="16"/>
      <c r="K60" s="5"/>
    </row>
    <row r="61" spans="1:11" x14ac:dyDescent="0.2">
      <c r="A61" s="27" t="s">
        <v>31</v>
      </c>
      <c r="B61" s="154" t="s">
        <v>30</v>
      </c>
      <c r="C61" s="155"/>
      <c r="D61" s="155"/>
      <c r="E61" s="155"/>
      <c r="F61" s="156"/>
      <c r="G61" s="15" t="s">
        <v>34</v>
      </c>
      <c r="H61" s="15" t="s">
        <v>32</v>
      </c>
      <c r="I61" s="15" t="s">
        <v>33</v>
      </c>
      <c r="J61" s="16"/>
      <c r="K61" s="5"/>
    </row>
    <row r="62" spans="1:11" x14ac:dyDescent="0.2">
      <c r="B62" s="168"/>
      <c r="C62" s="169"/>
      <c r="D62" s="169"/>
      <c r="E62" s="169"/>
      <c r="F62" s="170"/>
      <c r="G62" s="12"/>
      <c r="H62" s="49"/>
      <c r="I62" s="72"/>
      <c r="J62" s="16"/>
      <c r="K62" s="5"/>
    </row>
    <row r="63" spans="1:11" x14ac:dyDescent="0.2">
      <c r="B63" s="177" t="s">
        <v>42</v>
      </c>
      <c r="C63" s="169"/>
      <c r="D63" s="169"/>
      <c r="E63" s="169"/>
      <c r="F63" s="170"/>
      <c r="G63" s="12"/>
      <c r="H63" s="49"/>
      <c r="I63" s="72"/>
      <c r="J63" s="16"/>
      <c r="K63" s="5"/>
    </row>
    <row r="64" spans="1:11" x14ac:dyDescent="0.2">
      <c r="B64" s="37"/>
      <c r="C64" s="28"/>
      <c r="D64" s="28"/>
      <c r="E64" s="28"/>
      <c r="F64" s="34"/>
      <c r="G64" s="12"/>
      <c r="H64" s="49"/>
      <c r="I64" s="72"/>
      <c r="J64" s="16"/>
      <c r="K64" s="5"/>
    </row>
    <row r="65" spans="1:18" x14ac:dyDescent="0.2">
      <c r="A65" s="47">
        <v>1</v>
      </c>
      <c r="B65" s="126" t="s">
        <v>43</v>
      </c>
      <c r="C65" s="141"/>
      <c r="D65" s="141"/>
      <c r="E65" s="141"/>
      <c r="F65" s="153"/>
      <c r="G65" s="12">
        <v>4</v>
      </c>
      <c r="H65" s="49">
        <v>289</v>
      </c>
      <c r="I65" s="72">
        <v>1156</v>
      </c>
      <c r="J65">
        <v>704</v>
      </c>
      <c r="K65" s="16">
        <v>176</v>
      </c>
    </row>
    <row r="66" spans="1:18" x14ac:dyDescent="0.2">
      <c r="A66" s="47"/>
      <c r="B66" s="168"/>
      <c r="C66" s="169"/>
      <c r="D66" s="169"/>
      <c r="E66" s="169"/>
      <c r="F66" s="170"/>
      <c r="G66" s="12"/>
      <c r="H66" s="49"/>
      <c r="I66" s="72"/>
      <c r="J66" s="16"/>
      <c r="K66" s="5"/>
    </row>
    <row r="67" spans="1:18" x14ac:dyDescent="0.2">
      <c r="B67" s="177" t="s">
        <v>46</v>
      </c>
      <c r="C67" s="178"/>
      <c r="D67" s="178"/>
      <c r="E67" s="178"/>
      <c r="F67" s="179"/>
      <c r="G67" s="12"/>
      <c r="H67" s="11"/>
      <c r="I67" s="33"/>
      <c r="J67" s="16"/>
      <c r="K67" s="5"/>
      <c r="L67" s="77" t="s">
        <v>75</v>
      </c>
      <c r="M67" s="78" t="s">
        <v>74</v>
      </c>
      <c r="N67" s="76" t="s">
        <v>76</v>
      </c>
    </row>
    <row r="68" spans="1:18" x14ac:dyDescent="0.2">
      <c r="B68" s="37"/>
      <c r="C68" s="38"/>
      <c r="D68" s="38"/>
      <c r="E68" s="38"/>
      <c r="F68" s="39"/>
      <c r="G68" s="12"/>
      <c r="H68" s="11"/>
      <c r="I68" s="33"/>
      <c r="J68" s="16"/>
      <c r="K68" s="5"/>
      <c r="L68" s="86">
        <f>I74</f>
        <v>26909</v>
      </c>
      <c r="M68" s="79">
        <f>SUM(J21:J29,J33:J60,J61:J70)</f>
        <v>23548.7</v>
      </c>
      <c r="N68" s="76">
        <f>L68-M68</f>
        <v>3360.2999999999993</v>
      </c>
    </row>
    <row r="69" spans="1:18" s="64" customFormat="1" ht="18" customHeight="1" x14ac:dyDescent="0.2">
      <c r="B69" s="123" t="s">
        <v>47</v>
      </c>
      <c r="C69" s="124"/>
      <c r="D69" s="124"/>
      <c r="E69" s="124"/>
      <c r="F69" s="125"/>
      <c r="G69" s="12"/>
      <c r="H69" s="11"/>
      <c r="I69" s="65"/>
      <c r="J69" s="74"/>
      <c r="K69" s="66"/>
    </row>
    <row r="70" spans="1:18" x14ac:dyDescent="0.2">
      <c r="A70">
        <v>1</v>
      </c>
      <c r="B70" s="158" t="s">
        <v>49</v>
      </c>
      <c r="C70" s="159"/>
      <c r="D70" s="159"/>
      <c r="E70" s="159"/>
      <c r="F70" s="160"/>
      <c r="G70" s="12">
        <v>4</v>
      </c>
      <c r="H70" s="33">
        <v>5499</v>
      </c>
      <c r="I70" s="33">
        <v>21996</v>
      </c>
      <c r="J70">
        <v>18672</v>
      </c>
      <c r="K70" s="16">
        <v>4668</v>
      </c>
    </row>
    <row r="71" spans="1:18" x14ac:dyDescent="0.2">
      <c r="B71" s="158"/>
      <c r="C71" s="159"/>
      <c r="D71" s="159"/>
      <c r="E71" s="159"/>
      <c r="F71" s="160"/>
      <c r="G71" s="12"/>
      <c r="H71" s="33"/>
      <c r="I71" s="33"/>
      <c r="J71" s="16"/>
      <c r="K71" s="5"/>
      <c r="R71" s="85"/>
    </row>
    <row r="72" spans="1:18" s="4" customFormat="1" ht="27.95" customHeight="1" x14ac:dyDescent="0.2">
      <c r="B72" s="145" t="s">
        <v>2</v>
      </c>
      <c r="C72" s="146"/>
      <c r="D72" s="146"/>
      <c r="E72" s="146"/>
      <c r="F72" s="147"/>
      <c r="G72" s="143" t="s">
        <v>13</v>
      </c>
      <c r="H72" s="144"/>
      <c r="I72" s="26">
        <f>SUM(I18:I71)</f>
        <v>26909</v>
      </c>
      <c r="K72" s="6" t="s">
        <v>1</v>
      </c>
    </row>
    <row r="73" spans="1:18" ht="24" customHeight="1" x14ac:dyDescent="0.2">
      <c r="B73" s="10"/>
      <c r="C73" s="10"/>
      <c r="D73" s="10"/>
      <c r="E73" s="10"/>
      <c r="F73" s="10"/>
      <c r="G73" s="143" t="s">
        <v>14</v>
      </c>
      <c r="H73" s="144"/>
      <c r="I73" s="26">
        <v>0</v>
      </c>
      <c r="K73" s="6" t="s">
        <v>15</v>
      </c>
    </row>
    <row r="74" spans="1:18" ht="24" customHeight="1" x14ac:dyDescent="0.2">
      <c r="B74" s="10"/>
      <c r="C74" s="10"/>
      <c r="D74" s="10"/>
      <c r="E74" s="10"/>
      <c r="F74" s="10"/>
      <c r="G74" s="182" t="s">
        <v>12</v>
      </c>
      <c r="H74" s="183"/>
      <c r="I74" s="68">
        <f>I72+I73</f>
        <v>26909</v>
      </c>
    </row>
    <row r="75" spans="1:18" ht="14.25" customHeight="1" x14ac:dyDescent="0.2">
      <c r="B75" s="41"/>
      <c r="C75" s="41"/>
      <c r="D75" s="41"/>
      <c r="E75" s="41"/>
      <c r="F75" s="41"/>
      <c r="G75" s="41"/>
      <c r="H75" s="41"/>
      <c r="I75" s="41"/>
    </row>
    <row r="76" spans="1:18" ht="14.25" customHeight="1" x14ac:dyDescent="0.2">
      <c r="B76" s="41"/>
      <c r="C76" s="41"/>
      <c r="D76" s="41"/>
      <c r="E76" s="41"/>
      <c r="F76" s="41"/>
      <c r="G76" s="41"/>
      <c r="H76" s="41"/>
      <c r="I76" s="41"/>
    </row>
    <row r="77" spans="1:18" ht="14.25" customHeight="1" x14ac:dyDescent="0.2">
      <c r="B77" s="41"/>
      <c r="C77" s="41"/>
      <c r="D77" s="41"/>
      <c r="E77" s="41"/>
      <c r="F77" s="41"/>
      <c r="G77" s="41"/>
      <c r="H77" s="41"/>
      <c r="I77" s="41"/>
    </row>
    <row r="78" spans="1:18" ht="14.25" customHeight="1" x14ac:dyDescent="0.2">
      <c r="B78" s="41"/>
      <c r="C78" s="41"/>
      <c r="D78" s="41"/>
      <c r="E78" s="41"/>
      <c r="F78" s="41"/>
      <c r="G78" s="41"/>
      <c r="H78" s="41"/>
      <c r="I78" s="41"/>
    </row>
    <row r="79" spans="1:18" ht="14.25" customHeight="1" x14ac:dyDescent="0.2">
      <c r="B79" s="41"/>
      <c r="C79" s="41"/>
      <c r="D79" s="41"/>
      <c r="E79" s="41"/>
      <c r="F79" s="41"/>
      <c r="G79" s="41"/>
      <c r="H79" s="41"/>
      <c r="I79" s="41"/>
    </row>
    <row r="80" spans="1:18" ht="14.25" customHeight="1" x14ac:dyDescent="0.2">
      <c r="B80" s="41"/>
      <c r="C80" s="41"/>
      <c r="D80" s="41"/>
      <c r="E80" s="41"/>
      <c r="F80" s="41"/>
      <c r="G80" s="41"/>
      <c r="H80" s="41"/>
      <c r="I80" s="41"/>
    </row>
    <row r="81" spans="2:11" ht="14.25" customHeight="1" x14ac:dyDescent="0.2">
      <c r="B81" s="41"/>
      <c r="C81" s="41"/>
      <c r="D81" s="41"/>
      <c r="E81" s="41"/>
      <c r="F81" s="41"/>
      <c r="G81" s="41"/>
      <c r="H81" s="41"/>
      <c r="I81" s="41"/>
    </row>
    <row r="82" spans="2:11" ht="14.25" customHeight="1" x14ac:dyDescent="0.2">
      <c r="B82" s="41"/>
      <c r="C82" s="41"/>
      <c r="D82" s="41"/>
      <c r="E82" s="41"/>
      <c r="F82" s="41"/>
      <c r="G82" s="41"/>
      <c r="H82" s="41"/>
      <c r="I82" s="41"/>
    </row>
    <row r="83" spans="2:11" ht="14.25" customHeight="1" x14ac:dyDescent="0.2">
      <c r="B83" s="41"/>
      <c r="C83" s="41"/>
      <c r="D83" s="41"/>
      <c r="E83" s="41"/>
      <c r="F83" s="41"/>
      <c r="G83" s="41"/>
      <c r="H83" s="41"/>
      <c r="I83" s="41"/>
    </row>
    <row r="84" spans="2:11" ht="14.25" customHeight="1" x14ac:dyDescent="0.2">
      <c r="B84" s="41"/>
      <c r="C84" s="41"/>
      <c r="D84" s="41"/>
      <c r="E84" s="41"/>
      <c r="F84" s="41"/>
      <c r="G84" s="41"/>
      <c r="H84" s="41"/>
      <c r="I84" s="41"/>
    </row>
    <row r="85" spans="2:11" ht="14.25" customHeight="1" x14ac:dyDescent="0.2">
      <c r="B85" s="41"/>
      <c r="C85" s="41"/>
      <c r="D85" s="41"/>
      <c r="E85" s="41"/>
      <c r="F85" s="41"/>
      <c r="G85" s="41"/>
      <c r="H85" s="41"/>
      <c r="I85" s="41"/>
    </row>
    <row r="86" spans="2:11" x14ac:dyDescent="0.2">
      <c r="B86" s="10"/>
      <c r="C86" s="10"/>
      <c r="D86" s="10"/>
      <c r="E86" s="10"/>
      <c r="F86" s="10"/>
      <c r="G86" s="10"/>
      <c r="H86" s="10"/>
      <c r="I86" s="10"/>
    </row>
    <row r="87" spans="2:11" x14ac:dyDescent="0.2">
      <c r="B87" s="10"/>
      <c r="C87" s="10"/>
      <c r="D87" s="10"/>
      <c r="E87" s="10"/>
      <c r="F87" s="10"/>
      <c r="G87" s="10"/>
      <c r="H87" s="10"/>
      <c r="I87" s="10"/>
    </row>
    <row r="88" spans="2:11" ht="14.25" customHeight="1" x14ac:dyDescent="0.2">
      <c r="B88" s="148" t="s">
        <v>70</v>
      </c>
      <c r="C88" s="148"/>
      <c r="D88" s="148"/>
      <c r="E88" s="148"/>
      <c r="F88" s="148"/>
      <c r="G88" s="148"/>
      <c r="H88" s="148"/>
      <c r="I88" s="148"/>
      <c r="K88" s="6" t="s">
        <v>5</v>
      </c>
    </row>
    <row r="89" spans="2:11" ht="14.25" customHeight="1" x14ac:dyDescent="0.2">
      <c r="B89" s="148"/>
      <c r="C89" s="148"/>
      <c r="D89" s="148"/>
      <c r="E89" s="148"/>
      <c r="F89" s="148"/>
      <c r="G89" s="148"/>
      <c r="H89" s="148"/>
      <c r="I89" s="148"/>
      <c r="K89" s="6"/>
    </row>
    <row r="90" spans="2:11" ht="14.25" customHeight="1" x14ac:dyDescent="0.2">
      <c r="B90" s="67"/>
      <c r="C90" s="67"/>
      <c r="D90" s="67"/>
      <c r="E90" s="67"/>
      <c r="F90" s="67"/>
      <c r="G90" s="67"/>
      <c r="H90" s="67"/>
      <c r="I90" s="67"/>
      <c r="K90" s="6"/>
    </row>
    <row r="91" spans="2:11" ht="14.25" customHeight="1" x14ac:dyDescent="0.2">
      <c r="B91" s="148" t="s">
        <v>72</v>
      </c>
      <c r="C91" s="148"/>
      <c r="D91" s="148"/>
      <c r="E91" s="148"/>
      <c r="F91" s="148"/>
      <c r="G91" s="148"/>
      <c r="H91" s="148"/>
      <c r="I91" s="148"/>
    </row>
    <row r="92" spans="2:11" ht="14.25" customHeight="1" x14ac:dyDescent="0.2">
      <c r="B92" s="41"/>
      <c r="C92" s="41"/>
      <c r="D92" s="41"/>
      <c r="E92" s="41"/>
      <c r="F92" s="41"/>
      <c r="G92" s="41"/>
      <c r="H92" s="41"/>
      <c r="I92" s="41"/>
    </row>
    <row r="93" spans="2:11" ht="14.25" customHeight="1" x14ac:dyDescent="0.2">
      <c r="B93" s="41"/>
      <c r="C93" s="41"/>
      <c r="D93" s="41"/>
      <c r="E93" s="41"/>
      <c r="F93" s="41"/>
      <c r="G93" s="41"/>
      <c r="H93" s="41"/>
      <c r="I93" s="41"/>
    </row>
    <row r="94" spans="2:11" ht="14.25" customHeight="1" x14ac:dyDescent="0.2">
      <c r="B94" s="41"/>
      <c r="C94" s="41"/>
      <c r="D94" s="41"/>
      <c r="E94" s="41"/>
      <c r="F94" s="41"/>
      <c r="G94" s="41"/>
      <c r="H94" s="41"/>
      <c r="I94" s="41"/>
    </row>
    <row r="95" spans="2:11" x14ac:dyDescent="0.2">
      <c r="B95" s="23"/>
    </row>
    <row r="96" spans="2:11" ht="170.25" customHeight="1" x14ac:dyDescent="0.2">
      <c r="B96" s="10"/>
      <c r="C96" s="10"/>
      <c r="D96" s="10"/>
      <c r="E96" s="10"/>
      <c r="F96" s="10"/>
      <c r="G96" s="142" t="s">
        <v>73</v>
      </c>
      <c r="H96" s="142"/>
      <c r="I96" s="142"/>
    </row>
    <row r="97" spans="2:11" x14ac:dyDescent="0.2">
      <c r="B97" s="181"/>
      <c r="C97" s="181"/>
      <c r="D97" s="181"/>
      <c r="E97" s="181"/>
      <c r="F97" s="181"/>
      <c r="G97" s="181"/>
      <c r="H97" s="181"/>
      <c r="I97" s="181"/>
      <c r="K97" s="6" t="s">
        <v>4</v>
      </c>
    </row>
    <row r="98" spans="2:11" x14ac:dyDescent="0.2">
      <c r="B98" s="42"/>
      <c r="C98" s="42"/>
      <c r="D98" s="42"/>
      <c r="E98" s="42"/>
      <c r="F98" s="42"/>
      <c r="G98" s="42"/>
      <c r="H98" s="42"/>
      <c r="I98" s="42"/>
      <c r="K98" s="6"/>
    </row>
    <row r="136" spans="2:2" x14ac:dyDescent="0.2">
      <c r="B136" t="s">
        <v>71</v>
      </c>
    </row>
  </sheetData>
  <mergeCells count="55">
    <mergeCell ref="B17:F17"/>
    <mergeCell ref="G4:H4"/>
    <mergeCell ref="G5:H5"/>
    <mergeCell ref="G6:H6"/>
    <mergeCell ref="G7:H7"/>
    <mergeCell ref="A9:D9"/>
    <mergeCell ref="B18:F18"/>
    <mergeCell ref="B19:F19"/>
    <mergeCell ref="B21:F21"/>
    <mergeCell ref="B22:F22"/>
    <mergeCell ref="A23:A24"/>
    <mergeCell ref="B23:F24"/>
    <mergeCell ref="B37:F38"/>
    <mergeCell ref="G37:G38"/>
    <mergeCell ref="G23:G24"/>
    <mergeCell ref="H23:H24"/>
    <mergeCell ref="I23:I24"/>
    <mergeCell ref="B25:F26"/>
    <mergeCell ref="G25:G26"/>
    <mergeCell ref="H25:H26"/>
    <mergeCell ref="I25:I26"/>
    <mergeCell ref="B27:F27"/>
    <mergeCell ref="B31:F31"/>
    <mergeCell ref="B33:F33"/>
    <mergeCell ref="B34:F36"/>
    <mergeCell ref="G34:G36"/>
    <mergeCell ref="B53:F53"/>
    <mergeCell ref="B54:F54"/>
    <mergeCell ref="B55:F55"/>
    <mergeCell ref="B39:F40"/>
    <mergeCell ref="G39:G40"/>
    <mergeCell ref="B41:F45"/>
    <mergeCell ref="B46:F46"/>
    <mergeCell ref="B47:F51"/>
    <mergeCell ref="B52:F52"/>
    <mergeCell ref="B69:F69"/>
    <mergeCell ref="B61:F61"/>
    <mergeCell ref="B56:F56"/>
    <mergeCell ref="B57:F57"/>
    <mergeCell ref="B58:F60"/>
    <mergeCell ref="B62:F62"/>
    <mergeCell ref="B63:F63"/>
    <mergeCell ref="B65:F65"/>
    <mergeCell ref="B66:F66"/>
    <mergeCell ref="B67:F67"/>
    <mergeCell ref="B88:I89"/>
    <mergeCell ref="B91:I91"/>
    <mergeCell ref="G96:I96"/>
    <mergeCell ref="B97:I97"/>
    <mergeCell ref="B70:F70"/>
    <mergeCell ref="B71:F71"/>
    <mergeCell ref="B72:F72"/>
    <mergeCell ref="G72:H72"/>
    <mergeCell ref="G73:H73"/>
    <mergeCell ref="G74:H74"/>
  </mergeCells>
  <hyperlinks>
    <hyperlink ref="K3" r:id="rId1" display="https://www.vertex42.com/ExcelTemplates/quote-template.html" xr:uid="{535DD8AC-7D1A-4FAD-B82C-C414DD12A4D3}"/>
  </hyperlinks>
  <printOptions horizontalCentered="1"/>
  <pageMargins left="0.5" right="0.5" top="0.5" bottom="0.5" header="0.5" footer="0.25"/>
  <pageSetup fitToHeight="0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F4E3-6F9F-4412-8EA6-8DD3624ED00A}">
  <dimension ref="A1:R88"/>
  <sheetViews>
    <sheetView showGridLines="0" showRuler="0" zoomScale="87" zoomScaleNormal="87" zoomScalePageLayoutView="70" workbookViewId="0">
      <selection activeCell="K38" sqref="K38"/>
    </sheetView>
  </sheetViews>
  <sheetFormatPr defaultRowHeight="14.25" x14ac:dyDescent="0.2"/>
  <cols>
    <col min="1" max="1" width="3.375" customWidth="1"/>
    <col min="2" max="2" width="3" customWidth="1"/>
    <col min="3" max="3" width="12.625" customWidth="1"/>
    <col min="4" max="4" width="17.625" customWidth="1"/>
    <col min="5" max="7" width="6.625" customWidth="1"/>
    <col min="8" max="8" width="12.625" customWidth="1"/>
    <col min="9" max="9" width="17.625" customWidth="1"/>
    <col min="11" max="11" width="22.375" customWidth="1"/>
    <col min="12" max="12" width="13.375" bestFit="1" customWidth="1"/>
    <col min="13" max="13" width="11.375" customWidth="1"/>
    <col min="14" max="14" width="11.5" customWidth="1"/>
  </cols>
  <sheetData>
    <row r="1" spans="1:11" ht="36" x14ac:dyDescent="0.2">
      <c r="A1" s="8" t="s">
        <v>16</v>
      </c>
      <c r="C1" s="8"/>
      <c r="D1" s="8"/>
      <c r="E1" s="8"/>
      <c r="F1" s="3"/>
      <c r="H1" s="7"/>
      <c r="I1" s="18" t="s">
        <v>6</v>
      </c>
    </row>
    <row r="2" spans="1:11" x14ac:dyDescent="0.2">
      <c r="A2" s="9" t="s">
        <v>17</v>
      </c>
      <c r="C2" s="9"/>
      <c r="D2" s="9"/>
      <c r="E2" s="2"/>
      <c r="F2" s="9"/>
      <c r="G2" s="2"/>
      <c r="H2" s="10"/>
      <c r="I2" s="10"/>
      <c r="K2" s="1" t="s">
        <v>11</v>
      </c>
    </row>
    <row r="3" spans="1:11" x14ac:dyDescent="0.2">
      <c r="A3" s="9" t="s">
        <v>18</v>
      </c>
      <c r="C3" s="9"/>
      <c r="D3" s="9"/>
      <c r="E3" s="2"/>
      <c r="F3" s="9"/>
      <c r="K3" s="17" t="s">
        <v>10</v>
      </c>
    </row>
    <row r="4" spans="1:11" x14ac:dyDescent="0.2">
      <c r="A4" s="9" t="s">
        <v>19</v>
      </c>
      <c r="C4" s="14"/>
      <c r="D4" s="14"/>
      <c r="E4" s="2"/>
      <c r="F4" s="9"/>
      <c r="G4" s="122" t="s">
        <v>7</v>
      </c>
      <c r="H4" s="122"/>
      <c r="I4" s="15" t="s">
        <v>0</v>
      </c>
      <c r="K4" s="1"/>
    </row>
    <row r="5" spans="1:11" x14ac:dyDescent="0.2">
      <c r="A5" s="2" t="s">
        <v>20</v>
      </c>
      <c r="C5" s="2"/>
      <c r="D5" s="2"/>
      <c r="E5" s="2"/>
      <c r="F5" s="9"/>
      <c r="G5" s="157">
        <v>2293</v>
      </c>
      <c r="H5" s="157"/>
      <c r="I5" s="13">
        <v>44827</v>
      </c>
      <c r="K5" s="6" t="s">
        <v>3</v>
      </c>
    </row>
    <row r="6" spans="1:11" x14ac:dyDescent="0.2">
      <c r="A6" s="9" t="s">
        <v>21</v>
      </c>
      <c r="C6" s="9"/>
      <c r="D6" s="9"/>
      <c r="E6" s="2"/>
      <c r="F6" s="9"/>
      <c r="G6" s="122" t="s">
        <v>9</v>
      </c>
      <c r="H6" s="122"/>
      <c r="I6" s="15" t="s">
        <v>8</v>
      </c>
      <c r="K6" s="6"/>
    </row>
    <row r="7" spans="1:11" x14ac:dyDescent="0.2">
      <c r="B7" s="2"/>
      <c r="C7" s="2"/>
      <c r="D7" s="2"/>
      <c r="E7" s="2"/>
      <c r="F7" s="9"/>
      <c r="G7" s="157"/>
      <c r="H7" s="157"/>
      <c r="I7" s="19">
        <f>I5+15</f>
        <v>44842</v>
      </c>
      <c r="K7" s="1"/>
    </row>
    <row r="8" spans="1:11" ht="18" customHeight="1" x14ac:dyDescent="0.2">
      <c r="B8" s="2"/>
      <c r="C8" s="2"/>
      <c r="D8" s="2"/>
      <c r="E8" s="2"/>
      <c r="F8" s="9"/>
      <c r="G8" s="20"/>
      <c r="H8" s="20"/>
      <c r="I8" s="21"/>
      <c r="K8" s="1"/>
    </row>
    <row r="9" spans="1:11" ht="20.100000000000001" customHeight="1" x14ac:dyDescent="0.2">
      <c r="A9" s="133" t="s">
        <v>29</v>
      </c>
      <c r="B9" s="134"/>
      <c r="C9" s="134"/>
      <c r="D9" s="134"/>
      <c r="E9" s="9"/>
      <c r="H9" s="22" t="s">
        <v>28</v>
      </c>
      <c r="I9" s="25"/>
      <c r="K9" s="5"/>
    </row>
    <row r="10" spans="1:11" ht="14.25" customHeight="1" x14ac:dyDescent="0.2">
      <c r="A10" s="9" t="s">
        <v>22</v>
      </c>
      <c r="C10" s="9"/>
      <c r="D10" s="9"/>
      <c r="E10" s="9"/>
      <c r="H10" s="22"/>
      <c r="I10" s="25"/>
      <c r="K10" s="5"/>
    </row>
    <row r="11" spans="1:11" x14ac:dyDescent="0.2">
      <c r="A11" s="9" t="s">
        <v>23</v>
      </c>
      <c r="C11" s="9"/>
      <c r="D11" s="9"/>
      <c r="E11" s="9"/>
      <c r="H11" s="22"/>
      <c r="I11" s="25"/>
      <c r="K11" s="5"/>
    </row>
    <row r="12" spans="1:11" x14ac:dyDescent="0.2">
      <c r="A12" s="9" t="s">
        <v>24</v>
      </c>
      <c r="C12" s="9"/>
      <c r="D12" s="9"/>
      <c r="E12" s="9"/>
    </row>
    <row r="13" spans="1:11" x14ac:dyDescent="0.2">
      <c r="A13" s="9" t="s">
        <v>25</v>
      </c>
      <c r="C13" s="9"/>
      <c r="D13" s="9"/>
      <c r="E13" s="9"/>
    </row>
    <row r="14" spans="1:11" x14ac:dyDescent="0.2">
      <c r="A14" s="9" t="s">
        <v>26</v>
      </c>
      <c r="C14" s="9"/>
      <c r="D14" s="9"/>
      <c r="E14" s="9"/>
    </row>
    <row r="15" spans="1:11" x14ac:dyDescent="0.2">
      <c r="A15" s="2" t="s">
        <v>27</v>
      </c>
      <c r="C15" s="2"/>
      <c r="D15" s="2"/>
      <c r="E15" s="2"/>
      <c r="F15" s="2"/>
    </row>
    <row r="16" spans="1:11" x14ac:dyDescent="0.2">
      <c r="B16" s="9"/>
      <c r="C16" s="9"/>
      <c r="D16" s="9"/>
      <c r="E16" s="9"/>
      <c r="F16" s="2"/>
      <c r="G16" s="2"/>
      <c r="H16" s="2"/>
      <c r="I16" s="2"/>
      <c r="K16" s="5"/>
    </row>
    <row r="17" spans="1:11" ht="20.100000000000001" customHeight="1" x14ac:dyDescent="0.2">
      <c r="A17" s="27" t="s">
        <v>31</v>
      </c>
      <c r="B17" s="154" t="s">
        <v>30</v>
      </c>
      <c r="C17" s="155"/>
      <c r="D17" s="155"/>
      <c r="E17" s="155"/>
      <c r="F17" s="156"/>
      <c r="G17" s="15" t="s">
        <v>34</v>
      </c>
      <c r="H17" s="15" t="s">
        <v>32</v>
      </c>
      <c r="I17" s="15" t="s">
        <v>33</v>
      </c>
      <c r="K17" s="5"/>
    </row>
    <row r="18" spans="1:11" ht="20.100000000000001" customHeight="1" x14ac:dyDescent="0.2">
      <c r="A18" s="87"/>
      <c r="B18" s="88"/>
      <c r="C18" s="87"/>
      <c r="D18" s="87"/>
      <c r="E18" s="87"/>
      <c r="F18" s="89"/>
      <c r="G18" s="90"/>
      <c r="H18" s="90"/>
      <c r="I18" s="90"/>
      <c r="K18" s="5"/>
    </row>
    <row r="19" spans="1:11" ht="30.75" customHeight="1" x14ac:dyDescent="0.2">
      <c r="B19" s="123" t="s">
        <v>78</v>
      </c>
      <c r="C19" s="124"/>
      <c r="D19" s="124"/>
      <c r="E19" s="124"/>
      <c r="F19" s="125"/>
      <c r="G19" s="12"/>
      <c r="H19" s="11"/>
      <c r="I19" s="24"/>
      <c r="J19" s="16"/>
      <c r="K19" s="69">
        <f>SUM(I19:I29)</f>
        <v>3345</v>
      </c>
    </row>
    <row r="20" spans="1:11" x14ac:dyDescent="0.2">
      <c r="B20" s="30"/>
      <c r="C20" s="31"/>
      <c r="D20" s="31"/>
      <c r="E20" s="31"/>
      <c r="F20" s="32"/>
      <c r="G20" s="12"/>
      <c r="H20" s="11"/>
      <c r="I20" s="24"/>
      <c r="J20" s="16"/>
      <c r="K20" s="5"/>
    </row>
    <row r="21" spans="1:11" x14ac:dyDescent="0.2">
      <c r="A21" s="47">
        <v>1</v>
      </c>
      <c r="B21" s="184" t="s">
        <v>35</v>
      </c>
      <c r="C21" s="127"/>
      <c r="D21" s="127"/>
      <c r="E21" s="127"/>
      <c r="F21" s="128"/>
      <c r="G21" s="48">
        <v>3</v>
      </c>
      <c r="H21" s="49">
        <v>400</v>
      </c>
      <c r="I21" s="50">
        <v>1200</v>
      </c>
      <c r="J21" s="16">
        <v>600</v>
      </c>
      <c r="K21" s="5"/>
    </row>
    <row r="22" spans="1:11" ht="14.25" customHeight="1" x14ac:dyDescent="0.2">
      <c r="A22" s="189">
        <v>2</v>
      </c>
      <c r="B22" s="126" t="s">
        <v>82</v>
      </c>
      <c r="C22" s="141"/>
      <c r="D22" s="141"/>
      <c r="E22" s="141"/>
      <c r="F22" s="153"/>
      <c r="G22" s="186">
        <v>3</v>
      </c>
      <c r="H22" s="55">
        <v>450</v>
      </c>
      <c r="I22" s="56">
        <v>1350</v>
      </c>
      <c r="J22" s="16">
        <v>900</v>
      </c>
      <c r="K22" s="5"/>
    </row>
    <row r="23" spans="1:11" x14ac:dyDescent="0.2">
      <c r="A23" s="189"/>
      <c r="B23" s="126"/>
      <c r="C23" s="141"/>
      <c r="D23" s="141"/>
      <c r="E23" s="141"/>
      <c r="F23" s="153"/>
      <c r="G23" s="186"/>
      <c r="H23" s="55"/>
      <c r="I23" s="56"/>
      <c r="J23" s="16"/>
      <c r="K23" s="5"/>
    </row>
    <row r="24" spans="1:11" x14ac:dyDescent="0.2">
      <c r="A24" s="189"/>
      <c r="B24" s="126"/>
      <c r="C24" s="141"/>
      <c r="D24" s="141"/>
      <c r="E24" s="141"/>
      <c r="F24" s="153"/>
      <c r="G24" s="186"/>
      <c r="H24" s="55"/>
      <c r="I24" s="56"/>
      <c r="J24" s="16"/>
      <c r="K24" s="5"/>
    </row>
    <row r="25" spans="1:11" x14ac:dyDescent="0.2">
      <c r="A25" s="189">
        <v>3</v>
      </c>
      <c r="B25" s="126" t="s">
        <v>58</v>
      </c>
      <c r="C25" s="141"/>
      <c r="D25" s="141"/>
      <c r="E25" s="141"/>
      <c r="F25" s="153"/>
      <c r="G25" s="186">
        <v>3</v>
      </c>
      <c r="H25" s="55">
        <v>180</v>
      </c>
      <c r="I25" s="56">
        <v>540</v>
      </c>
      <c r="J25" s="16">
        <v>300</v>
      </c>
      <c r="K25" s="5"/>
    </row>
    <row r="26" spans="1:11" x14ac:dyDescent="0.2">
      <c r="A26" s="189"/>
      <c r="B26" s="126"/>
      <c r="C26" s="141"/>
      <c r="D26" s="141"/>
      <c r="E26" s="141"/>
      <c r="F26" s="153"/>
      <c r="G26" s="186"/>
      <c r="H26" s="55"/>
      <c r="I26" s="56"/>
      <c r="J26" s="16"/>
      <c r="K26" s="5"/>
    </row>
    <row r="27" spans="1:11" x14ac:dyDescent="0.2">
      <c r="A27" s="47">
        <v>4</v>
      </c>
      <c r="B27" s="126" t="s">
        <v>37</v>
      </c>
      <c r="C27" s="141"/>
      <c r="D27" s="141"/>
      <c r="E27" s="141"/>
      <c r="F27" s="153"/>
      <c r="G27" s="186">
        <v>3</v>
      </c>
      <c r="H27" s="55">
        <v>65</v>
      </c>
      <c r="I27" s="56">
        <v>195</v>
      </c>
      <c r="J27" s="16">
        <v>129</v>
      </c>
      <c r="K27" s="5"/>
    </row>
    <row r="28" spans="1:11" x14ac:dyDescent="0.2">
      <c r="A28" s="47"/>
      <c r="B28" s="126"/>
      <c r="C28" s="141"/>
      <c r="D28" s="141"/>
      <c r="E28" s="141"/>
      <c r="F28" s="153"/>
      <c r="G28" s="186"/>
      <c r="H28" s="55"/>
      <c r="I28" s="56"/>
      <c r="J28" s="16"/>
      <c r="K28" s="5"/>
    </row>
    <row r="29" spans="1:11" ht="14.25" customHeight="1" x14ac:dyDescent="0.2">
      <c r="A29" s="47">
        <v>5</v>
      </c>
      <c r="B29" s="126" t="s">
        <v>69</v>
      </c>
      <c r="C29" s="141"/>
      <c r="D29" s="141"/>
      <c r="E29" s="141"/>
      <c r="F29" s="153"/>
      <c r="G29" s="48">
        <v>3</v>
      </c>
      <c r="H29" s="55">
        <v>20</v>
      </c>
      <c r="I29" s="56">
        <v>60</v>
      </c>
      <c r="J29" s="16">
        <v>30</v>
      </c>
      <c r="K29" s="5"/>
    </row>
    <row r="30" spans="1:11" x14ac:dyDescent="0.2">
      <c r="B30" s="43"/>
      <c r="C30" s="44"/>
      <c r="D30" s="44"/>
      <c r="E30" s="44"/>
      <c r="F30" s="45"/>
      <c r="G30" s="12"/>
      <c r="H30" s="11"/>
      <c r="I30" s="24"/>
      <c r="J30" s="16"/>
      <c r="K30" s="5"/>
    </row>
    <row r="31" spans="1:11" x14ac:dyDescent="0.2">
      <c r="B31" s="177" t="s">
        <v>42</v>
      </c>
      <c r="C31" s="178"/>
      <c r="D31" s="178"/>
      <c r="E31" s="178"/>
      <c r="F31" s="179"/>
      <c r="G31" s="12"/>
      <c r="H31" s="49"/>
      <c r="I31" s="72"/>
      <c r="J31" s="16"/>
      <c r="K31" s="5"/>
    </row>
    <row r="32" spans="1:11" x14ac:dyDescent="0.2">
      <c r="B32" s="37"/>
      <c r="C32" s="28"/>
      <c r="D32" s="28"/>
      <c r="E32" s="28"/>
      <c r="F32" s="34"/>
      <c r="G32" s="12"/>
      <c r="H32" s="49"/>
      <c r="I32" s="72"/>
      <c r="J32" s="16"/>
      <c r="K32" s="5"/>
    </row>
    <row r="33" spans="1:18" x14ac:dyDescent="0.2">
      <c r="A33" s="47">
        <v>1</v>
      </c>
      <c r="B33" s="126" t="s">
        <v>45</v>
      </c>
      <c r="C33" s="141"/>
      <c r="D33" s="141"/>
      <c r="E33" s="141"/>
      <c r="F33" s="153"/>
      <c r="G33" s="12">
        <v>2</v>
      </c>
      <c r="H33" s="49">
        <v>349</v>
      </c>
      <c r="I33" s="72">
        <v>698</v>
      </c>
      <c r="J33">
        <v>334</v>
      </c>
      <c r="K33" s="16">
        <v>167</v>
      </c>
    </row>
    <row r="34" spans="1:18" x14ac:dyDescent="0.2">
      <c r="A34" s="47">
        <v>2</v>
      </c>
      <c r="B34" s="126" t="s">
        <v>44</v>
      </c>
      <c r="C34" s="141"/>
      <c r="D34" s="141"/>
      <c r="E34" s="141"/>
      <c r="F34" s="153"/>
      <c r="G34" s="12">
        <v>1</v>
      </c>
      <c r="H34" s="49">
        <v>379</v>
      </c>
      <c r="I34" s="72">
        <v>379</v>
      </c>
      <c r="J34">
        <v>344</v>
      </c>
      <c r="K34" s="16">
        <v>344</v>
      </c>
    </row>
    <row r="35" spans="1:18" x14ac:dyDescent="0.2">
      <c r="A35" s="47"/>
      <c r="B35" s="168"/>
      <c r="C35" s="169"/>
      <c r="D35" s="169"/>
      <c r="E35" s="169"/>
      <c r="F35" s="170"/>
      <c r="G35" s="12"/>
      <c r="H35" s="49"/>
      <c r="I35" s="72"/>
      <c r="J35" s="16"/>
      <c r="K35" s="5"/>
    </row>
    <row r="36" spans="1:18" x14ac:dyDescent="0.2">
      <c r="B36" s="177" t="s">
        <v>46</v>
      </c>
      <c r="C36" s="178"/>
      <c r="D36" s="178"/>
      <c r="E36" s="178"/>
      <c r="F36" s="179"/>
      <c r="G36" s="12"/>
      <c r="H36" s="11"/>
      <c r="I36" s="33"/>
      <c r="J36" s="16"/>
      <c r="K36" s="5"/>
      <c r="L36" s="77" t="s">
        <v>75</v>
      </c>
      <c r="M36" s="78" t="s">
        <v>74</v>
      </c>
      <c r="N36" s="76" t="s">
        <v>76</v>
      </c>
    </row>
    <row r="37" spans="1:18" x14ac:dyDescent="0.2">
      <c r="B37" s="37"/>
      <c r="C37" s="38"/>
      <c r="D37" s="38"/>
      <c r="E37" s="38"/>
      <c r="F37" s="39"/>
      <c r="G37" s="12"/>
      <c r="H37" s="11"/>
      <c r="I37" s="33"/>
      <c r="J37" s="16"/>
      <c r="K37" s="5"/>
      <c r="L37" s="86">
        <f>I43</f>
        <v>4422</v>
      </c>
      <c r="M37" s="79">
        <f>SUM(J21:J39)</f>
        <v>13992</v>
      </c>
      <c r="N37" s="91">
        <f>L37-M37</f>
        <v>-9570</v>
      </c>
    </row>
    <row r="38" spans="1:18" s="64" customFormat="1" ht="18" customHeight="1" x14ac:dyDescent="0.2">
      <c r="B38" s="123" t="s">
        <v>47</v>
      </c>
      <c r="C38" s="124"/>
      <c r="D38" s="124"/>
      <c r="E38" s="124"/>
      <c r="F38" s="125"/>
      <c r="G38" s="12"/>
      <c r="H38" s="11"/>
      <c r="I38" s="65"/>
      <c r="J38" s="74"/>
      <c r="K38" s="66"/>
    </row>
    <row r="39" spans="1:18" x14ac:dyDescent="0.2">
      <c r="A39">
        <v>1</v>
      </c>
      <c r="B39" s="158" t="s">
        <v>48</v>
      </c>
      <c r="C39" s="159"/>
      <c r="D39" s="159"/>
      <c r="E39" s="159"/>
      <c r="F39" s="160"/>
      <c r="G39" s="12">
        <v>3</v>
      </c>
      <c r="H39" s="33">
        <v>4259</v>
      </c>
      <c r="I39" s="33">
        <v>0</v>
      </c>
      <c r="J39">
        <v>11355</v>
      </c>
      <c r="K39" s="16">
        <v>3785</v>
      </c>
      <c r="R39" s="85"/>
    </row>
    <row r="40" spans="1:18" x14ac:dyDescent="0.2">
      <c r="B40" s="158"/>
      <c r="C40" s="159"/>
      <c r="D40" s="159"/>
      <c r="E40" s="159"/>
      <c r="F40" s="160"/>
      <c r="G40" s="12"/>
      <c r="H40" s="33"/>
      <c r="I40" s="33"/>
      <c r="J40" s="16"/>
      <c r="K40" s="5"/>
      <c r="R40" s="85"/>
    </row>
    <row r="41" spans="1:18" s="4" customFormat="1" ht="27.95" customHeight="1" x14ac:dyDescent="0.2">
      <c r="B41" s="145" t="s">
        <v>2</v>
      </c>
      <c r="C41" s="146"/>
      <c r="D41" s="146"/>
      <c r="E41" s="146"/>
      <c r="F41" s="147"/>
      <c r="G41" s="143" t="s">
        <v>13</v>
      </c>
      <c r="H41" s="144"/>
      <c r="I41" s="26">
        <f>SUM(I19:I40)</f>
        <v>4422</v>
      </c>
      <c r="K41" s="6" t="s">
        <v>1</v>
      </c>
    </row>
    <row r="42" spans="1:18" ht="24" customHeight="1" x14ac:dyDescent="0.2">
      <c r="B42" s="10"/>
      <c r="C42" s="10"/>
      <c r="D42" s="10"/>
      <c r="E42" s="10"/>
      <c r="F42" s="10"/>
      <c r="G42" s="143" t="s">
        <v>14</v>
      </c>
      <c r="H42" s="144"/>
      <c r="I42" s="26">
        <v>0</v>
      </c>
      <c r="K42" s="6" t="s">
        <v>15</v>
      </c>
    </row>
    <row r="43" spans="1:18" ht="24" customHeight="1" x14ac:dyDescent="0.2">
      <c r="B43" s="10"/>
      <c r="C43" s="10"/>
      <c r="D43" s="10"/>
      <c r="E43" s="10"/>
      <c r="F43" s="10"/>
      <c r="G43" s="182" t="s">
        <v>12</v>
      </c>
      <c r="H43" s="183"/>
      <c r="I43" s="68">
        <f>I41+I42</f>
        <v>4422</v>
      </c>
    </row>
    <row r="44" spans="1:18" x14ac:dyDescent="0.2">
      <c r="B44" s="10"/>
      <c r="C44" s="10"/>
      <c r="D44" s="10"/>
      <c r="E44" s="10"/>
      <c r="F44" s="10"/>
      <c r="G44" s="10"/>
      <c r="H44" s="10"/>
      <c r="I44" s="10"/>
    </row>
    <row r="45" spans="1:18" x14ac:dyDescent="0.2">
      <c r="B45" s="10"/>
      <c r="C45" s="10"/>
      <c r="D45" s="10"/>
      <c r="E45" s="10"/>
      <c r="F45" s="10"/>
      <c r="G45" s="10"/>
      <c r="H45" s="10"/>
      <c r="I45" s="10"/>
    </row>
    <row r="46" spans="1:18" x14ac:dyDescent="0.2">
      <c r="B46" s="10"/>
      <c r="C46" s="10"/>
      <c r="D46" s="10"/>
      <c r="E46" s="10"/>
      <c r="F46" s="10"/>
      <c r="G46" s="10"/>
      <c r="H46" s="10"/>
      <c r="I46" s="10"/>
    </row>
    <row r="47" spans="1:18" x14ac:dyDescent="0.2">
      <c r="B47" s="10"/>
      <c r="C47" s="10"/>
      <c r="D47" s="10"/>
      <c r="E47" s="10"/>
      <c r="F47" s="10"/>
      <c r="G47" s="10"/>
      <c r="H47" s="10"/>
      <c r="I47" s="10"/>
    </row>
    <row r="48" spans="1:18" x14ac:dyDescent="0.2">
      <c r="B48" s="10"/>
      <c r="C48" s="10"/>
      <c r="D48" s="10"/>
      <c r="E48" s="10"/>
      <c r="F48" s="10"/>
      <c r="G48" s="10"/>
      <c r="H48" s="10"/>
      <c r="I48" s="10"/>
    </row>
    <row r="49" spans="2:11" x14ac:dyDescent="0.2">
      <c r="B49" s="10"/>
      <c r="C49" s="10"/>
      <c r="D49" s="10"/>
      <c r="E49" s="10"/>
      <c r="F49" s="10"/>
      <c r="G49" s="10"/>
      <c r="H49" s="10"/>
      <c r="I49" s="10"/>
    </row>
    <row r="50" spans="2:11" x14ac:dyDescent="0.2">
      <c r="B50" s="10"/>
      <c r="C50" s="10"/>
      <c r="D50" s="10"/>
      <c r="E50" s="10"/>
      <c r="F50" s="10"/>
      <c r="G50" s="10"/>
      <c r="H50" s="10"/>
      <c r="I50" s="10"/>
    </row>
    <row r="51" spans="2:11" ht="14.25" customHeight="1" x14ac:dyDescent="0.2">
      <c r="B51" s="148" t="s">
        <v>70</v>
      </c>
      <c r="C51" s="148"/>
      <c r="D51" s="148"/>
      <c r="E51" s="148"/>
      <c r="F51" s="148"/>
      <c r="G51" s="148"/>
      <c r="H51" s="148"/>
      <c r="I51" s="148"/>
      <c r="K51" s="6" t="s">
        <v>5</v>
      </c>
    </row>
    <row r="52" spans="2:11" ht="14.25" customHeight="1" x14ac:dyDescent="0.2">
      <c r="B52" s="148"/>
      <c r="C52" s="148"/>
      <c r="D52" s="148"/>
      <c r="E52" s="148"/>
      <c r="F52" s="148"/>
      <c r="G52" s="148"/>
      <c r="H52" s="148"/>
      <c r="I52" s="148"/>
      <c r="K52" s="6"/>
    </row>
    <row r="53" spans="2:11" ht="14.25" customHeight="1" x14ac:dyDescent="0.2">
      <c r="B53" s="67"/>
      <c r="C53" s="67"/>
      <c r="D53" s="67"/>
      <c r="E53" s="67"/>
      <c r="F53" s="67"/>
      <c r="G53" s="67"/>
      <c r="H53" s="67"/>
      <c r="I53" s="67"/>
      <c r="K53" s="6"/>
    </row>
    <row r="54" spans="2:11" ht="14.25" customHeight="1" x14ac:dyDescent="0.2">
      <c r="B54" s="148" t="s">
        <v>72</v>
      </c>
      <c r="C54" s="148"/>
      <c r="D54" s="148"/>
      <c r="E54" s="148"/>
      <c r="F54" s="148"/>
      <c r="G54" s="148"/>
      <c r="H54" s="148"/>
      <c r="I54" s="148"/>
    </row>
    <row r="55" spans="2:11" ht="14.25" customHeight="1" x14ac:dyDescent="0.2">
      <c r="B55" s="41"/>
      <c r="C55" s="41"/>
      <c r="D55" s="41"/>
      <c r="E55" s="41"/>
      <c r="F55" s="41"/>
      <c r="G55" s="41"/>
      <c r="H55" s="41"/>
      <c r="I55" s="41"/>
    </row>
    <row r="56" spans="2:11" x14ac:dyDescent="0.2">
      <c r="B56" s="23"/>
    </row>
    <row r="57" spans="2:11" ht="145.5" customHeight="1" x14ac:dyDescent="0.2">
      <c r="B57" s="10"/>
      <c r="C57" s="10"/>
      <c r="D57" s="10"/>
      <c r="E57" s="10"/>
      <c r="F57" s="10"/>
      <c r="G57" s="142" t="s">
        <v>73</v>
      </c>
      <c r="H57" s="142"/>
      <c r="I57" s="142"/>
    </row>
    <row r="58" spans="2:11" x14ac:dyDescent="0.2">
      <c r="B58" s="181"/>
      <c r="C58" s="181"/>
      <c r="D58" s="181"/>
      <c r="E58" s="181"/>
      <c r="F58" s="181"/>
      <c r="G58" s="181"/>
      <c r="H58" s="181"/>
      <c r="I58" s="181"/>
      <c r="K58" s="6" t="s">
        <v>4</v>
      </c>
    </row>
    <row r="59" spans="2:11" x14ac:dyDescent="0.2">
      <c r="B59" s="42"/>
      <c r="C59" s="42"/>
      <c r="D59" s="42"/>
      <c r="E59" s="42"/>
      <c r="F59" s="42"/>
      <c r="G59" s="42"/>
      <c r="H59" s="42"/>
      <c r="I59" s="42"/>
      <c r="K59" s="6"/>
    </row>
    <row r="88" spans="2:2" x14ac:dyDescent="0.2">
      <c r="B88" t="s">
        <v>71</v>
      </c>
    </row>
  </sheetData>
  <mergeCells count="33">
    <mergeCell ref="B36:F36"/>
    <mergeCell ref="B58:I58"/>
    <mergeCell ref="B38:F38"/>
    <mergeCell ref="B39:F39"/>
    <mergeCell ref="B40:F40"/>
    <mergeCell ref="B41:F41"/>
    <mergeCell ref="G41:H41"/>
    <mergeCell ref="G42:H42"/>
    <mergeCell ref="G43:H43"/>
    <mergeCell ref="B51:I52"/>
    <mergeCell ref="B54:I54"/>
    <mergeCell ref="G57:I57"/>
    <mergeCell ref="B31:F31"/>
    <mergeCell ref="B33:F33"/>
    <mergeCell ref="B29:F29"/>
    <mergeCell ref="B34:F34"/>
    <mergeCell ref="B35:F35"/>
    <mergeCell ref="A25:A26"/>
    <mergeCell ref="B25:F26"/>
    <mergeCell ref="G25:G26"/>
    <mergeCell ref="B27:F28"/>
    <mergeCell ref="G27:G28"/>
    <mergeCell ref="A9:D9"/>
    <mergeCell ref="B17:F17"/>
    <mergeCell ref="G22:G24"/>
    <mergeCell ref="G4:H4"/>
    <mergeCell ref="G5:H5"/>
    <mergeCell ref="G6:H6"/>
    <mergeCell ref="G7:H7"/>
    <mergeCell ref="B19:F19"/>
    <mergeCell ref="B21:F21"/>
    <mergeCell ref="A22:A24"/>
    <mergeCell ref="B22:F24"/>
  </mergeCells>
  <hyperlinks>
    <hyperlink ref="K3" r:id="rId1" display="https://www.vertex42.com/ExcelTemplates/quote-template.html" xr:uid="{A51071C8-2A3A-4C8F-8859-8A12D8990EDC}"/>
  </hyperlinks>
  <printOptions horizontalCentered="1"/>
  <pageMargins left="0.5" right="0.5" top="0.5" bottom="0.5" header="0.5" footer="0.25"/>
  <pageSetup fitToHeight="0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3E36-D488-47CC-A755-AC6106F811DB}">
  <dimension ref="A1:R84"/>
  <sheetViews>
    <sheetView showGridLines="0" showRuler="0" topLeftCell="A12" zoomScale="68" zoomScaleNormal="68" zoomScalePageLayoutView="70" workbookViewId="0">
      <selection activeCell="M59" sqref="M59:M60"/>
    </sheetView>
  </sheetViews>
  <sheetFormatPr defaultRowHeight="14.25" x14ac:dyDescent="0.2"/>
  <cols>
    <col min="1" max="1" width="3.375" customWidth="1"/>
    <col min="2" max="2" width="3" customWidth="1"/>
    <col min="3" max="3" width="12.625" customWidth="1"/>
    <col min="4" max="4" width="17.625" customWidth="1"/>
    <col min="5" max="7" width="6.625" customWidth="1"/>
    <col min="8" max="8" width="12.625" customWidth="1"/>
    <col min="9" max="9" width="17.625" customWidth="1"/>
    <col min="11" max="11" width="22.375" customWidth="1"/>
    <col min="12" max="12" width="13.375" bestFit="1" customWidth="1"/>
    <col min="13" max="13" width="11.375" customWidth="1"/>
    <col min="14" max="14" width="11.5" customWidth="1"/>
  </cols>
  <sheetData>
    <row r="1" spans="1:11" ht="36" x14ac:dyDescent="0.2">
      <c r="A1" s="8" t="s">
        <v>16</v>
      </c>
      <c r="C1" s="8"/>
      <c r="D1" s="8"/>
      <c r="E1" s="8"/>
      <c r="F1" s="3"/>
      <c r="H1" s="7"/>
      <c r="I1" s="18" t="s">
        <v>6</v>
      </c>
    </row>
    <row r="2" spans="1:11" x14ac:dyDescent="0.2">
      <c r="A2" s="9" t="s">
        <v>17</v>
      </c>
      <c r="C2" s="9"/>
      <c r="D2" s="9"/>
      <c r="E2" s="2"/>
      <c r="F2" s="9"/>
      <c r="G2" s="2"/>
      <c r="H2" s="10"/>
      <c r="I2" s="10"/>
      <c r="K2" s="1" t="s">
        <v>11</v>
      </c>
    </row>
    <row r="3" spans="1:11" x14ac:dyDescent="0.2">
      <c r="A3" s="9" t="s">
        <v>18</v>
      </c>
      <c r="C3" s="9"/>
      <c r="D3" s="9"/>
      <c r="E3" s="2"/>
      <c r="F3" s="9"/>
      <c r="K3" s="17" t="s">
        <v>10</v>
      </c>
    </row>
    <row r="4" spans="1:11" x14ac:dyDescent="0.2">
      <c r="A4" s="9" t="s">
        <v>19</v>
      </c>
      <c r="C4" s="14"/>
      <c r="D4" s="14"/>
      <c r="E4" s="2"/>
      <c r="F4" s="9"/>
      <c r="G4" s="122" t="s">
        <v>7</v>
      </c>
      <c r="H4" s="122"/>
      <c r="I4" s="15" t="s">
        <v>0</v>
      </c>
      <c r="K4" s="1"/>
    </row>
    <row r="5" spans="1:11" x14ac:dyDescent="0.2">
      <c r="A5" s="2" t="s">
        <v>20</v>
      </c>
      <c r="C5" s="2"/>
      <c r="D5" s="2"/>
      <c r="E5" s="2"/>
      <c r="F5" s="9"/>
      <c r="G5" s="157">
        <v>2351</v>
      </c>
      <c r="H5" s="157"/>
      <c r="I5" s="13">
        <v>44860</v>
      </c>
      <c r="K5" s="6" t="s">
        <v>3</v>
      </c>
    </row>
    <row r="6" spans="1:11" x14ac:dyDescent="0.2">
      <c r="A6" s="9" t="s">
        <v>21</v>
      </c>
      <c r="C6" s="9"/>
      <c r="D6" s="9"/>
      <c r="E6" s="2"/>
      <c r="F6" s="9"/>
      <c r="G6" s="122" t="s">
        <v>9</v>
      </c>
      <c r="H6" s="122"/>
      <c r="I6" s="15" t="s">
        <v>8</v>
      </c>
      <c r="K6" s="6"/>
    </row>
    <row r="7" spans="1:11" x14ac:dyDescent="0.2">
      <c r="B7" s="2"/>
      <c r="C7" s="2"/>
      <c r="D7" s="2"/>
      <c r="E7" s="2"/>
      <c r="F7" s="9"/>
      <c r="G7" s="157"/>
      <c r="H7" s="157"/>
      <c r="I7" s="19">
        <f>I5+15</f>
        <v>44875</v>
      </c>
      <c r="K7" s="1"/>
    </row>
    <row r="8" spans="1:11" ht="18" customHeight="1" x14ac:dyDescent="0.2">
      <c r="B8" s="2"/>
      <c r="C8" s="2"/>
      <c r="D8" s="2"/>
      <c r="E8" s="2"/>
      <c r="F8" s="9"/>
      <c r="G8" s="20"/>
      <c r="H8" s="20"/>
      <c r="I8" s="21"/>
      <c r="K8" s="1"/>
    </row>
    <row r="9" spans="1:11" ht="20.100000000000001" customHeight="1" x14ac:dyDescent="0.2">
      <c r="A9" s="133" t="s">
        <v>29</v>
      </c>
      <c r="B9" s="134"/>
      <c r="C9" s="134"/>
      <c r="D9" s="134"/>
      <c r="E9" s="9"/>
      <c r="H9" s="22" t="s">
        <v>28</v>
      </c>
      <c r="I9" s="25"/>
      <c r="K9" s="5"/>
    </row>
    <row r="10" spans="1:11" ht="14.25" customHeight="1" x14ac:dyDescent="0.2">
      <c r="A10" s="9" t="s">
        <v>22</v>
      </c>
      <c r="C10" s="9"/>
      <c r="D10" s="9"/>
      <c r="E10" s="9"/>
      <c r="H10" s="22"/>
      <c r="I10" s="25"/>
      <c r="K10" s="5"/>
    </row>
    <row r="11" spans="1:11" x14ac:dyDescent="0.2">
      <c r="A11" s="9" t="s">
        <v>23</v>
      </c>
      <c r="C11" s="9"/>
      <c r="D11" s="9"/>
      <c r="E11" s="9"/>
      <c r="H11" s="22"/>
      <c r="I11" s="25"/>
      <c r="K11" s="5"/>
    </row>
    <row r="12" spans="1:11" x14ac:dyDescent="0.2">
      <c r="A12" s="9" t="s">
        <v>24</v>
      </c>
      <c r="C12" s="9"/>
      <c r="D12" s="9"/>
      <c r="E12" s="9"/>
    </row>
    <row r="13" spans="1:11" x14ac:dyDescent="0.2">
      <c r="A13" s="9" t="s">
        <v>25</v>
      </c>
      <c r="C13" s="9"/>
      <c r="D13" s="9"/>
      <c r="E13" s="9"/>
    </row>
    <row r="14" spans="1:11" x14ac:dyDescent="0.2">
      <c r="A14" s="9" t="s">
        <v>26</v>
      </c>
      <c r="C14" s="9"/>
      <c r="D14" s="9"/>
      <c r="E14" s="9"/>
    </row>
    <row r="15" spans="1:11" x14ac:dyDescent="0.2">
      <c r="A15" s="2" t="s">
        <v>27</v>
      </c>
      <c r="C15" s="2"/>
      <c r="D15" s="2"/>
      <c r="E15" s="2"/>
      <c r="F15" s="2"/>
    </row>
    <row r="16" spans="1:11" x14ac:dyDescent="0.2">
      <c r="B16" s="9"/>
      <c r="C16" s="9"/>
      <c r="D16" s="9"/>
      <c r="E16" s="9"/>
      <c r="F16" s="2"/>
      <c r="G16" s="2"/>
      <c r="H16" s="2"/>
      <c r="I16" s="2"/>
      <c r="K16" s="5"/>
    </row>
    <row r="17" spans="1:14" ht="20.100000000000001" customHeight="1" x14ac:dyDescent="0.2">
      <c r="A17" s="27" t="s">
        <v>31</v>
      </c>
      <c r="B17" s="135" t="s">
        <v>30</v>
      </c>
      <c r="C17" s="136"/>
      <c r="D17" s="136"/>
      <c r="E17" s="136"/>
      <c r="F17" s="137"/>
      <c r="G17" s="15" t="s">
        <v>34</v>
      </c>
      <c r="H17" s="15" t="s">
        <v>32</v>
      </c>
      <c r="I17" s="15" t="s">
        <v>33</v>
      </c>
      <c r="K17" s="5"/>
    </row>
    <row r="18" spans="1:14" ht="18.75" customHeight="1" x14ac:dyDescent="0.2">
      <c r="B18" s="138"/>
      <c r="C18" s="139"/>
      <c r="D18" s="139"/>
      <c r="E18" s="139"/>
      <c r="F18" s="140"/>
      <c r="G18" s="40"/>
      <c r="H18" s="11"/>
      <c r="I18" s="24"/>
      <c r="K18" s="6"/>
    </row>
    <row r="19" spans="1:14" ht="28.5" customHeight="1" x14ac:dyDescent="0.2">
      <c r="B19" s="123" t="s">
        <v>93</v>
      </c>
      <c r="C19" s="124"/>
      <c r="D19" s="124"/>
      <c r="E19" s="124"/>
      <c r="F19" s="125"/>
      <c r="G19" s="12"/>
      <c r="H19" s="11"/>
      <c r="I19" s="24"/>
      <c r="J19" s="16"/>
      <c r="K19" s="6"/>
    </row>
    <row r="20" spans="1:14" ht="13.5" customHeight="1" x14ac:dyDescent="0.2">
      <c r="B20" s="35"/>
      <c r="C20" s="46"/>
      <c r="D20" s="46"/>
      <c r="E20" s="46"/>
      <c r="F20" s="36"/>
      <c r="G20" s="12"/>
      <c r="H20" s="11"/>
      <c r="I20" s="24"/>
      <c r="J20" s="16"/>
      <c r="K20" s="6"/>
    </row>
    <row r="21" spans="1:14" x14ac:dyDescent="0.2">
      <c r="A21" s="47">
        <v>1</v>
      </c>
      <c r="B21" s="184" t="s">
        <v>35</v>
      </c>
      <c r="C21" s="127"/>
      <c r="D21" s="127"/>
      <c r="E21" s="127"/>
      <c r="F21" s="128"/>
      <c r="G21" s="48">
        <v>1</v>
      </c>
      <c r="H21" s="49">
        <v>400</v>
      </c>
      <c r="I21" s="50">
        <v>400</v>
      </c>
      <c r="J21" s="16">
        <v>200</v>
      </c>
      <c r="K21" s="6"/>
    </row>
    <row r="22" spans="1:14" ht="45.75" customHeight="1" x14ac:dyDescent="0.2">
      <c r="A22" s="47">
        <v>2</v>
      </c>
      <c r="B22" s="126" t="s">
        <v>82</v>
      </c>
      <c r="C22" s="141"/>
      <c r="D22" s="141"/>
      <c r="E22" s="141"/>
      <c r="F22" s="153"/>
      <c r="G22" s="48">
        <v>1</v>
      </c>
      <c r="H22" s="49">
        <v>450</v>
      </c>
      <c r="I22" s="50">
        <v>450</v>
      </c>
      <c r="J22" s="75">
        <v>300</v>
      </c>
      <c r="K22" s="5"/>
    </row>
    <row r="23" spans="1:14" ht="14.25" customHeight="1" x14ac:dyDescent="0.2">
      <c r="A23" s="189">
        <v>3</v>
      </c>
      <c r="B23" s="126" t="s">
        <v>58</v>
      </c>
      <c r="C23" s="141"/>
      <c r="D23" s="141"/>
      <c r="E23" s="141"/>
      <c r="F23" s="153"/>
      <c r="G23" s="186">
        <v>1</v>
      </c>
      <c r="H23" s="187">
        <v>180</v>
      </c>
      <c r="I23" s="188">
        <v>180</v>
      </c>
      <c r="J23" s="16">
        <v>100</v>
      </c>
      <c r="K23" s="5"/>
      <c r="L23" s="77" t="s">
        <v>75</v>
      </c>
      <c r="M23" s="78" t="s">
        <v>74</v>
      </c>
      <c r="N23" s="76" t="s">
        <v>76</v>
      </c>
    </row>
    <row r="24" spans="1:14" x14ac:dyDescent="0.2">
      <c r="A24" s="189"/>
      <c r="B24" s="126"/>
      <c r="C24" s="141"/>
      <c r="D24" s="141"/>
      <c r="E24" s="141"/>
      <c r="F24" s="153"/>
      <c r="G24" s="186"/>
      <c r="H24" s="187"/>
      <c r="I24" s="188"/>
      <c r="J24" s="16"/>
      <c r="K24" s="5"/>
      <c r="L24" s="86">
        <f>I39</f>
        <v>4950</v>
      </c>
      <c r="M24" s="79">
        <f>SUM(J21:J32)</f>
        <v>3352</v>
      </c>
      <c r="N24" s="76">
        <f>L24-M24</f>
        <v>1598</v>
      </c>
    </row>
    <row r="25" spans="1:14" x14ac:dyDescent="0.2">
      <c r="A25" s="47">
        <v>4</v>
      </c>
      <c r="B25" s="126" t="s">
        <v>37</v>
      </c>
      <c r="C25" s="141"/>
      <c r="D25" s="141"/>
      <c r="E25" s="141"/>
      <c r="F25" s="153"/>
      <c r="G25" s="186">
        <v>1</v>
      </c>
      <c r="H25" s="187">
        <v>65</v>
      </c>
      <c r="I25" s="188">
        <v>65</v>
      </c>
      <c r="J25" s="16">
        <v>43</v>
      </c>
      <c r="K25" s="16"/>
    </row>
    <row r="26" spans="1:14" x14ac:dyDescent="0.2">
      <c r="A26" s="16"/>
      <c r="B26" s="126"/>
      <c r="C26" s="141"/>
      <c r="D26" s="141"/>
      <c r="E26" s="141"/>
      <c r="F26" s="153"/>
      <c r="G26" s="186"/>
      <c r="H26" s="187"/>
      <c r="I26" s="188"/>
      <c r="J26" s="16"/>
      <c r="K26" s="16"/>
    </row>
    <row r="27" spans="1:14" ht="14.25" customHeight="1" x14ac:dyDescent="0.2">
      <c r="A27" s="47">
        <v>5</v>
      </c>
      <c r="B27" s="126" t="s">
        <v>69</v>
      </c>
      <c r="C27" s="141"/>
      <c r="D27" s="141"/>
      <c r="E27" s="141"/>
      <c r="F27" s="153"/>
      <c r="G27" s="48">
        <v>1</v>
      </c>
      <c r="H27" s="49">
        <v>20</v>
      </c>
      <c r="I27" s="50">
        <v>20</v>
      </c>
      <c r="J27" s="16">
        <v>10</v>
      </c>
      <c r="K27" s="5"/>
    </row>
    <row r="28" spans="1:14" ht="14.25" customHeight="1" x14ac:dyDescent="0.2">
      <c r="A28" s="47">
        <v>6</v>
      </c>
      <c r="B28" s="126" t="s">
        <v>90</v>
      </c>
      <c r="C28" s="141"/>
      <c r="D28" s="141"/>
      <c r="E28" s="141"/>
      <c r="F28" s="153"/>
      <c r="G28" s="12">
        <v>1</v>
      </c>
      <c r="H28" s="11">
        <v>599</v>
      </c>
      <c r="I28" s="24">
        <v>599</v>
      </c>
      <c r="J28" s="16">
        <v>100</v>
      </c>
      <c r="K28" s="5"/>
    </row>
    <row r="29" spans="1:14" ht="14.25" customHeight="1" x14ac:dyDescent="0.2">
      <c r="A29" s="47">
        <v>7</v>
      </c>
      <c r="B29" s="158" t="s">
        <v>39</v>
      </c>
      <c r="C29" s="159"/>
      <c r="D29" s="159"/>
      <c r="E29" s="159"/>
      <c r="F29" s="160"/>
      <c r="G29" s="12">
        <v>1</v>
      </c>
      <c r="H29" s="11">
        <v>50</v>
      </c>
      <c r="I29" s="24">
        <v>50</v>
      </c>
      <c r="J29" s="16">
        <v>150</v>
      </c>
    </row>
    <row r="30" spans="1:14" x14ac:dyDescent="0.2">
      <c r="B30" s="177" t="s">
        <v>46</v>
      </c>
      <c r="C30" s="178"/>
      <c r="D30" s="178"/>
      <c r="E30" s="178"/>
      <c r="F30" s="179"/>
      <c r="H30" s="11"/>
      <c r="I30" s="33"/>
      <c r="J30" s="16"/>
    </row>
    <row r="31" spans="1:14" x14ac:dyDescent="0.2">
      <c r="B31" s="37"/>
      <c r="C31" s="38"/>
      <c r="D31" s="38"/>
      <c r="E31" s="38"/>
      <c r="F31" s="39"/>
      <c r="G31" s="12"/>
      <c r="H31" s="11"/>
      <c r="I31" s="33"/>
    </row>
    <row r="32" spans="1:14" x14ac:dyDescent="0.2">
      <c r="A32">
        <v>1</v>
      </c>
      <c r="B32" s="158" t="s">
        <v>94</v>
      </c>
      <c r="C32" s="159"/>
      <c r="D32" s="159"/>
      <c r="E32" s="159"/>
      <c r="F32" s="160"/>
      <c r="G32" s="12">
        <v>1</v>
      </c>
      <c r="H32" s="33">
        <v>3186</v>
      </c>
      <c r="I32" s="33">
        <v>3186</v>
      </c>
      <c r="J32" s="16">
        <v>2449</v>
      </c>
    </row>
    <row r="33" spans="2:18" x14ac:dyDescent="0.2">
      <c r="B33" s="80"/>
      <c r="C33" s="81"/>
      <c r="D33" s="81"/>
      <c r="E33" s="81"/>
      <c r="F33" s="82"/>
      <c r="G33" s="12"/>
      <c r="H33" s="33"/>
      <c r="I33" s="33"/>
    </row>
    <row r="34" spans="2:18" x14ac:dyDescent="0.2">
      <c r="B34" s="80"/>
      <c r="C34" s="81"/>
      <c r="D34" s="81"/>
      <c r="E34" s="81"/>
      <c r="F34" s="82"/>
      <c r="G34" s="12"/>
      <c r="H34" s="33"/>
      <c r="I34" s="33"/>
    </row>
    <row r="35" spans="2:18" x14ac:dyDescent="0.2">
      <c r="B35" s="80"/>
      <c r="C35" s="81"/>
      <c r="D35" s="81"/>
      <c r="E35" s="81"/>
      <c r="F35" s="82"/>
      <c r="G35" s="12"/>
      <c r="H35" s="33"/>
      <c r="I35" s="33"/>
    </row>
    <row r="36" spans="2:18" x14ac:dyDescent="0.2">
      <c r="B36" s="158"/>
      <c r="C36" s="159"/>
      <c r="D36" s="159"/>
      <c r="E36" s="159"/>
      <c r="F36" s="160"/>
      <c r="G36" s="12"/>
      <c r="H36" s="33"/>
      <c r="I36" s="33"/>
      <c r="R36" s="85"/>
    </row>
    <row r="37" spans="2:18" s="4" customFormat="1" ht="27.95" customHeight="1" x14ac:dyDescent="0.2">
      <c r="B37" s="145" t="s">
        <v>2</v>
      </c>
      <c r="C37" s="146"/>
      <c r="D37" s="146"/>
      <c r="E37" s="146"/>
      <c r="F37" s="147"/>
      <c r="G37" s="143" t="s">
        <v>13</v>
      </c>
      <c r="H37" s="144"/>
      <c r="I37" s="26">
        <f>SUM(I18:I36)</f>
        <v>4950</v>
      </c>
      <c r="K37" s="6" t="s">
        <v>1</v>
      </c>
    </row>
    <row r="38" spans="2:18" ht="24" customHeight="1" x14ac:dyDescent="0.2">
      <c r="B38" s="10"/>
      <c r="C38" s="10"/>
      <c r="D38" s="10"/>
      <c r="E38" s="10"/>
      <c r="F38" s="10"/>
      <c r="G38" s="143" t="s">
        <v>14</v>
      </c>
      <c r="H38" s="144"/>
      <c r="I38" s="26">
        <v>0</v>
      </c>
      <c r="K38" s="6" t="s">
        <v>15</v>
      </c>
    </row>
    <row r="39" spans="2:18" ht="24" customHeight="1" x14ac:dyDescent="0.2">
      <c r="B39" s="10"/>
      <c r="C39" s="10"/>
      <c r="D39" s="10"/>
      <c r="E39" s="10"/>
      <c r="F39" s="10"/>
      <c r="G39" s="182" t="s">
        <v>12</v>
      </c>
      <c r="H39" s="183"/>
      <c r="I39" s="68">
        <f>I37+I38</f>
        <v>4950</v>
      </c>
    </row>
    <row r="40" spans="2:18" ht="24" customHeight="1" x14ac:dyDescent="0.2">
      <c r="B40" s="10"/>
      <c r="C40" s="10"/>
      <c r="D40" s="10"/>
      <c r="E40" s="10"/>
      <c r="F40" s="10"/>
      <c r="G40" s="94"/>
      <c r="H40" s="94"/>
      <c r="I40" s="95"/>
    </row>
    <row r="41" spans="2:18" ht="24" customHeight="1" x14ac:dyDescent="0.2">
      <c r="B41" s="10"/>
      <c r="C41" s="10"/>
      <c r="D41" s="10"/>
      <c r="E41" s="10"/>
      <c r="F41" s="10"/>
      <c r="G41" s="94"/>
      <c r="H41" s="94"/>
      <c r="I41" s="95"/>
    </row>
    <row r="42" spans="2:18" ht="24" customHeight="1" x14ac:dyDescent="0.2">
      <c r="B42" s="10"/>
      <c r="C42" s="10"/>
      <c r="D42" s="10"/>
      <c r="E42" s="10"/>
      <c r="F42" s="10"/>
      <c r="G42" s="94"/>
      <c r="H42" s="94"/>
      <c r="I42" s="95"/>
    </row>
    <row r="43" spans="2:18" ht="24" customHeight="1" x14ac:dyDescent="0.2">
      <c r="B43" s="10"/>
      <c r="C43" s="10"/>
      <c r="D43" s="10"/>
      <c r="E43" s="10"/>
      <c r="F43" s="10"/>
      <c r="G43" s="94"/>
      <c r="H43" s="94"/>
      <c r="I43" s="95"/>
    </row>
    <row r="44" spans="2:18" ht="24" customHeight="1" x14ac:dyDescent="0.2">
      <c r="B44" s="10"/>
      <c r="C44" s="10"/>
      <c r="D44" s="10"/>
      <c r="E44" s="10"/>
      <c r="F44" s="10"/>
      <c r="G44" s="94"/>
      <c r="H44" s="94"/>
      <c r="I44" s="95"/>
    </row>
    <row r="45" spans="2:18" ht="24" customHeight="1" x14ac:dyDescent="0.2">
      <c r="B45" s="10"/>
      <c r="C45" s="10"/>
      <c r="D45" s="10"/>
      <c r="E45" s="10"/>
      <c r="F45" s="10"/>
      <c r="G45" s="94"/>
      <c r="H45" s="94"/>
      <c r="I45" s="95"/>
    </row>
    <row r="54" spans="2:11" x14ac:dyDescent="0.2">
      <c r="B54" s="42"/>
      <c r="C54" s="42"/>
      <c r="D54" s="42"/>
      <c r="E54" s="42"/>
      <c r="F54" s="42"/>
      <c r="G54" s="42"/>
      <c r="H54" s="42"/>
      <c r="I54" s="42"/>
      <c r="K54" s="6"/>
    </row>
    <row r="72" spans="2:11" ht="14.25" customHeight="1" x14ac:dyDescent="0.2">
      <c r="B72" s="148" t="s">
        <v>70</v>
      </c>
      <c r="C72" s="148"/>
      <c r="D72" s="148"/>
      <c r="E72" s="148"/>
      <c r="F72" s="148"/>
      <c r="G72" s="148"/>
      <c r="H72" s="148"/>
      <c r="I72" s="148"/>
      <c r="K72" s="6" t="s">
        <v>5</v>
      </c>
    </row>
    <row r="73" spans="2:11" ht="14.25" customHeight="1" x14ac:dyDescent="0.2">
      <c r="B73" s="148"/>
      <c r="C73" s="148"/>
      <c r="D73" s="148"/>
      <c r="E73" s="148"/>
      <c r="F73" s="148"/>
      <c r="G73" s="148"/>
      <c r="H73" s="148"/>
      <c r="I73" s="148"/>
      <c r="K73" s="6"/>
    </row>
    <row r="74" spans="2:11" ht="14.25" customHeight="1" x14ac:dyDescent="0.2">
      <c r="B74" s="67"/>
      <c r="C74" s="67"/>
      <c r="D74" s="67"/>
      <c r="E74" s="67"/>
      <c r="F74" s="67"/>
      <c r="G74" s="67"/>
      <c r="H74" s="67"/>
      <c r="I74" s="67"/>
      <c r="K74" s="6"/>
    </row>
    <row r="75" spans="2:11" ht="14.25" customHeight="1" x14ac:dyDescent="0.2">
      <c r="B75" s="148" t="s">
        <v>72</v>
      </c>
      <c r="C75" s="148"/>
      <c r="D75" s="148"/>
      <c r="E75" s="148"/>
      <c r="F75" s="148"/>
      <c r="G75" s="148"/>
      <c r="H75" s="148"/>
      <c r="I75" s="148"/>
    </row>
    <row r="76" spans="2:11" ht="14.25" customHeight="1" x14ac:dyDescent="0.2">
      <c r="B76" s="41"/>
      <c r="C76" s="41"/>
      <c r="D76" s="41"/>
      <c r="E76" s="41"/>
      <c r="F76" s="41"/>
      <c r="G76" s="41"/>
      <c r="H76" s="41"/>
      <c r="I76" s="41"/>
    </row>
    <row r="77" spans="2:11" x14ac:dyDescent="0.2">
      <c r="B77" s="23"/>
    </row>
    <row r="78" spans="2:11" ht="116.25" customHeight="1" x14ac:dyDescent="0.2">
      <c r="B78" s="10"/>
      <c r="C78" s="10"/>
      <c r="D78" s="10"/>
      <c r="E78" s="10"/>
      <c r="F78" s="10"/>
      <c r="G78" s="142" t="s">
        <v>73</v>
      </c>
      <c r="H78" s="142"/>
      <c r="I78" s="142"/>
    </row>
    <row r="79" spans="2:11" x14ac:dyDescent="0.2">
      <c r="B79" s="10"/>
      <c r="C79" s="10"/>
      <c r="D79" s="10"/>
      <c r="E79" s="10"/>
      <c r="F79" s="10"/>
      <c r="G79" s="142"/>
      <c r="H79" s="142"/>
      <c r="I79" s="142"/>
      <c r="K79" s="6" t="s">
        <v>4</v>
      </c>
    </row>
    <row r="84" spans="2:2" x14ac:dyDescent="0.2">
      <c r="B84" t="s">
        <v>71</v>
      </c>
    </row>
  </sheetData>
  <mergeCells count="32">
    <mergeCell ref="B72:I73"/>
    <mergeCell ref="B75:I75"/>
    <mergeCell ref="G78:I79"/>
    <mergeCell ref="B28:F28"/>
    <mergeCell ref="B29:F29"/>
    <mergeCell ref="B32:F32"/>
    <mergeCell ref="B36:F36"/>
    <mergeCell ref="B37:F37"/>
    <mergeCell ref="G37:H37"/>
    <mergeCell ref="G38:H38"/>
    <mergeCell ref="G39:H39"/>
    <mergeCell ref="B30:F30"/>
    <mergeCell ref="B27:F27"/>
    <mergeCell ref="G23:G24"/>
    <mergeCell ref="H23:H24"/>
    <mergeCell ref="I23:I24"/>
    <mergeCell ref="B25:F26"/>
    <mergeCell ref="G25:G26"/>
    <mergeCell ref="H25:H26"/>
    <mergeCell ref="I25:I26"/>
    <mergeCell ref="B18:F18"/>
    <mergeCell ref="B19:F19"/>
    <mergeCell ref="B21:F21"/>
    <mergeCell ref="B22:F22"/>
    <mergeCell ref="A23:A24"/>
    <mergeCell ref="B23:F24"/>
    <mergeCell ref="B17:F17"/>
    <mergeCell ref="G4:H4"/>
    <mergeCell ref="G5:H5"/>
    <mergeCell ref="G6:H6"/>
    <mergeCell ref="G7:H7"/>
    <mergeCell ref="A9:D9"/>
  </mergeCells>
  <phoneticPr fontId="40" type="noConversion"/>
  <hyperlinks>
    <hyperlink ref="K3" r:id="rId1" display="https://www.vertex42.com/ExcelTemplates/quote-template.html" xr:uid="{03622CE9-B195-4DC9-B965-AD6665D310B2}"/>
  </hyperlinks>
  <printOptions horizontalCentered="1"/>
  <pageMargins left="0.5" right="0.5" top="0.5" bottom="0.5" header="0.5" footer="0.25"/>
  <pageSetup fitToHeight="0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7D21-8989-47AF-B059-FB79861B1832}">
  <dimension ref="B4:F58"/>
  <sheetViews>
    <sheetView topLeftCell="A15" zoomScale="64" zoomScaleNormal="64" workbookViewId="0">
      <selection activeCell="C18" sqref="C18"/>
    </sheetView>
  </sheetViews>
  <sheetFormatPr defaultRowHeight="14.25" x14ac:dyDescent="0.2"/>
  <cols>
    <col min="2" max="2" width="3.875" customWidth="1"/>
    <col min="3" max="3" width="77.5" customWidth="1"/>
    <col min="5" max="5" width="9.625" customWidth="1"/>
    <col min="6" max="6" width="34.875" customWidth="1"/>
  </cols>
  <sheetData>
    <row r="4" spans="2:6" ht="15" x14ac:dyDescent="0.25">
      <c r="B4" s="190" t="s">
        <v>95</v>
      </c>
      <c r="C4" s="190"/>
      <c r="D4" s="190"/>
      <c r="E4" s="190"/>
    </row>
    <row r="6" spans="2:6" ht="15" thickBot="1" x14ac:dyDescent="0.25"/>
    <row r="7" spans="2:6" ht="15.75" thickBot="1" x14ac:dyDescent="0.3">
      <c r="B7" s="97" t="s">
        <v>96</v>
      </c>
      <c r="C7" s="98" t="s">
        <v>97</v>
      </c>
      <c r="D7" s="98" t="s">
        <v>98</v>
      </c>
      <c r="E7" s="98" t="s">
        <v>99</v>
      </c>
      <c r="F7" s="99" t="s">
        <v>101</v>
      </c>
    </row>
    <row r="8" spans="2:6" ht="20.100000000000001" customHeight="1" x14ac:dyDescent="0.2">
      <c r="C8" s="102" t="s">
        <v>88</v>
      </c>
      <c r="D8" s="100">
        <v>4</v>
      </c>
      <c r="E8" s="100">
        <v>11562</v>
      </c>
      <c r="F8" s="101" t="s">
        <v>109</v>
      </c>
    </row>
    <row r="9" spans="2:6" ht="20.100000000000001" customHeight="1" x14ac:dyDescent="0.2">
      <c r="C9" s="103" t="s">
        <v>89</v>
      </c>
      <c r="D9" s="100">
        <v>1</v>
      </c>
      <c r="E9" s="100">
        <v>6100</v>
      </c>
      <c r="F9" s="101" t="s">
        <v>108</v>
      </c>
    </row>
    <row r="10" spans="2:6" ht="20.100000000000001" customHeight="1" x14ac:dyDescent="0.2">
      <c r="C10" s="102" t="s">
        <v>102</v>
      </c>
      <c r="D10" s="47">
        <v>1</v>
      </c>
      <c r="E10" s="47">
        <v>850</v>
      </c>
      <c r="F10" s="101" t="s">
        <v>110</v>
      </c>
    </row>
    <row r="11" spans="2:6" ht="20.100000000000001" customHeight="1" x14ac:dyDescent="0.2">
      <c r="C11" s="103" t="s">
        <v>79</v>
      </c>
      <c r="D11" s="100">
        <v>1</v>
      </c>
      <c r="E11" s="100">
        <v>900</v>
      </c>
      <c r="F11" s="101" t="s">
        <v>111</v>
      </c>
    </row>
    <row r="12" spans="2:6" ht="20.100000000000001" customHeight="1" x14ac:dyDescent="0.2">
      <c r="C12" s="102" t="s">
        <v>112</v>
      </c>
      <c r="D12" s="47">
        <v>1</v>
      </c>
      <c r="E12" s="47">
        <v>981.6</v>
      </c>
      <c r="F12" s="101" t="s">
        <v>113</v>
      </c>
    </row>
    <row r="13" spans="2:6" ht="20.100000000000001" customHeight="1" x14ac:dyDescent="0.2">
      <c r="C13" s="103" t="s">
        <v>53</v>
      </c>
      <c r="D13" s="100">
        <v>1</v>
      </c>
      <c r="E13" s="100">
        <v>580</v>
      </c>
      <c r="F13" s="101" t="s">
        <v>111</v>
      </c>
    </row>
    <row r="14" spans="2:6" ht="20.100000000000001" customHeight="1" x14ac:dyDescent="0.2">
      <c r="C14" s="103" t="s">
        <v>103</v>
      </c>
      <c r="D14" s="100">
        <v>1</v>
      </c>
      <c r="E14" s="47">
        <v>490</v>
      </c>
      <c r="F14" s="101" t="s">
        <v>110</v>
      </c>
    </row>
    <row r="15" spans="2:6" ht="20.100000000000001" customHeight="1" x14ac:dyDescent="0.2">
      <c r="C15" s="103" t="s">
        <v>114</v>
      </c>
      <c r="D15" s="100">
        <v>1</v>
      </c>
      <c r="E15" s="100">
        <v>730.9</v>
      </c>
      <c r="F15" s="101" t="s">
        <v>115</v>
      </c>
    </row>
    <row r="16" spans="2:6" ht="20.100000000000001" customHeight="1" x14ac:dyDescent="0.2">
      <c r="C16" s="104" t="s">
        <v>116</v>
      </c>
      <c r="D16" s="100">
        <v>1</v>
      </c>
      <c r="E16" s="100">
        <v>874.65</v>
      </c>
      <c r="F16" s="101" t="s">
        <v>117</v>
      </c>
    </row>
    <row r="17" spans="3:6" ht="20.100000000000001" customHeight="1" x14ac:dyDescent="0.2">
      <c r="C17" s="104" t="s">
        <v>104</v>
      </c>
      <c r="D17" s="100">
        <v>1</v>
      </c>
      <c r="E17" s="100">
        <v>347</v>
      </c>
      <c r="F17" s="101" t="s">
        <v>118</v>
      </c>
    </row>
    <row r="18" spans="3:6" ht="20.100000000000001" customHeight="1" x14ac:dyDescent="0.2">
      <c r="C18" s="104" t="s">
        <v>124</v>
      </c>
      <c r="D18" s="100">
        <v>1</v>
      </c>
      <c r="E18" s="100">
        <v>39</v>
      </c>
      <c r="F18" s="101" t="s">
        <v>143</v>
      </c>
    </row>
    <row r="19" spans="3:6" ht="20.100000000000001" customHeight="1" x14ac:dyDescent="0.2">
      <c r="C19" s="105" t="s">
        <v>59</v>
      </c>
      <c r="D19" s="47">
        <v>1</v>
      </c>
      <c r="E19" s="47">
        <v>235</v>
      </c>
      <c r="F19" s="101" t="s">
        <v>119</v>
      </c>
    </row>
    <row r="20" spans="3:6" ht="20.100000000000001" customHeight="1" x14ac:dyDescent="0.2">
      <c r="C20" s="104" t="s">
        <v>135</v>
      </c>
      <c r="D20" s="100">
        <v>1</v>
      </c>
      <c r="E20" s="100">
        <v>5</v>
      </c>
      <c r="F20" s="101" t="s">
        <v>136</v>
      </c>
    </row>
    <row r="21" spans="3:6" ht="20.100000000000001" customHeight="1" x14ac:dyDescent="0.2">
      <c r="C21" s="104" t="s">
        <v>63</v>
      </c>
      <c r="D21" s="100">
        <v>1</v>
      </c>
      <c r="E21" s="100">
        <v>306.89999999999998</v>
      </c>
      <c r="F21" s="101" t="s">
        <v>120</v>
      </c>
    </row>
    <row r="22" spans="3:6" ht="20.100000000000001" customHeight="1" x14ac:dyDescent="0.2">
      <c r="C22" s="105" t="s">
        <v>105</v>
      </c>
      <c r="D22" s="47">
        <v>8</v>
      </c>
      <c r="E22" s="47">
        <v>338</v>
      </c>
      <c r="F22" s="101" t="s">
        <v>108</v>
      </c>
    </row>
    <row r="23" spans="3:6" ht="20.100000000000001" customHeight="1" x14ac:dyDescent="0.2">
      <c r="C23" s="105" t="s">
        <v>56</v>
      </c>
      <c r="D23" s="47">
        <v>1</v>
      </c>
      <c r="E23" s="47">
        <v>227</v>
      </c>
      <c r="F23" s="101" t="s">
        <v>108</v>
      </c>
    </row>
    <row r="24" spans="3:6" ht="20.100000000000001" customHeight="1" x14ac:dyDescent="0.2">
      <c r="C24" s="105" t="s">
        <v>137</v>
      </c>
      <c r="D24" s="47">
        <v>1</v>
      </c>
      <c r="E24" s="47">
        <v>68.900000000000006</v>
      </c>
      <c r="F24" s="101" t="s">
        <v>138</v>
      </c>
    </row>
    <row r="25" spans="3:6" ht="20.100000000000001" customHeight="1" x14ac:dyDescent="0.2">
      <c r="C25" s="107" t="s">
        <v>92</v>
      </c>
      <c r="D25" s="100"/>
      <c r="E25" s="100"/>
    </row>
    <row r="26" spans="3:6" ht="20.100000000000001" customHeight="1" x14ac:dyDescent="0.2">
      <c r="C26" s="104" t="s">
        <v>141</v>
      </c>
      <c r="D26" s="100">
        <v>1</v>
      </c>
      <c r="E26" s="100">
        <v>253</v>
      </c>
      <c r="F26" s="101" t="s">
        <v>142</v>
      </c>
    </row>
    <row r="27" spans="3:6" ht="20.100000000000001" customHeight="1" x14ac:dyDescent="0.2">
      <c r="C27" s="107" t="s">
        <v>87</v>
      </c>
      <c r="D27" s="100"/>
      <c r="E27" s="100"/>
    </row>
    <row r="28" spans="3:6" ht="20.100000000000001" customHeight="1" x14ac:dyDescent="0.2">
      <c r="C28" s="104" t="s">
        <v>62</v>
      </c>
      <c r="D28" s="100">
        <v>3</v>
      </c>
      <c r="E28" s="100">
        <v>60.84</v>
      </c>
      <c r="F28" s="101" t="s">
        <v>122</v>
      </c>
    </row>
    <row r="29" spans="3:6" ht="20.100000000000001" customHeight="1" x14ac:dyDescent="0.2">
      <c r="C29" s="105" t="s">
        <v>106</v>
      </c>
      <c r="D29" s="47">
        <v>1</v>
      </c>
      <c r="E29" s="47">
        <v>19</v>
      </c>
      <c r="F29" s="101" t="s">
        <v>121</v>
      </c>
    </row>
    <row r="30" spans="3:6" ht="20.100000000000001" customHeight="1" x14ac:dyDescent="0.2">
      <c r="C30" s="104" t="s">
        <v>139</v>
      </c>
      <c r="D30" s="100">
        <v>1</v>
      </c>
      <c r="E30" s="100">
        <v>90</v>
      </c>
      <c r="F30" s="101" t="s">
        <v>140</v>
      </c>
    </row>
    <row r="31" spans="3:6" ht="20.100000000000001" customHeight="1" x14ac:dyDescent="0.2">
      <c r="C31" s="104" t="s">
        <v>64</v>
      </c>
      <c r="D31" s="100">
        <v>1</v>
      </c>
      <c r="E31" s="100">
        <v>51.7</v>
      </c>
      <c r="F31" s="101" t="s">
        <v>123</v>
      </c>
    </row>
    <row r="32" spans="3:6" ht="20.100000000000001" customHeight="1" x14ac:dyDescent="0.2">
      <c r="C32" s="104" t="s">
        <v>107</v>
      </c>
      <c r="D32" s="100">
        <v>2</v>
      </c>
      <c r="E32" s="100">
        <v>54.9</v>
      </c>
      <c r="F32" s="101" t="s">
        <v>125</v>
      </c>
    </row>
    <row r="33" spans="3:6" ht="20.100000000000001" customHeight="1" x14ac:dyDescent="0.2">
      <c r="C33" s="104" t="s">
        <v>127</v>
      </c>
      <c r="D33" s="100">
        <v>1</v>
      </c>
      <c r="E33" s="100">
        <v>83.79</v>
      </c>
      <c r="F33" s="101" t="s">
        <v>128</v>
      </c>
    </row>
    <row r="34" spans="3:6" ht="20.100000000000001" customHeight="1" x14ac:dyDescent="0.2">
      <c r="C34" s="104" t="s">
        <v>91</v>
      </c>
      <c r="D34" s="100">
        <v>1</v>
      </c>
      <c r="E34" s="100">
        <v>39.700000000000003</v>
      </c>
      <c r="F34" s="101" t="s">
        <v>126</v>
      </c>
    </row>
    <row r="35" spans="3:6" ht="20.100000000000001" customHeight="1" x14ac:dyDescent="0.2">
      <c r="C35" s="102" t="s">
        <v>129</v>
      </c>
      <c r="D35" s="47">
        <v>1</v>
      </c>
      <c r="E35" s="47">
        <v>34.64</v>
      </c>
      <c r="F35" s="101" t="s">
        <v>130</v>
      </c>
    </row>
    <row r="36" spans="3:6" ht="20.100000000000001" customHeight="1" x14ac:dyDescent="0.2">
      <c r="C36" s="103" t="s">
        <v>131</v>
      </c>
      <c r="D36" s="100">
        <v>1</v>
      </c>
      <c r="E36" s="100">
        <v>190.9</v>
      </c>
      <c r="F36" s="101" t="s">
        <v>132</v>
      </c>
    </row>
    <row r="37" spans="3:6" x14ac:dyDescent="0.2">
      <c r="C37" s="103" t="s">
        <v>133</v>
      </c>
      <c r="D37" s="100">
        <v>1</v>
      </c>
      <c r="E37" s="100">
        <v>292.39999999999998</v>
      </c>
      <c r="F37" s="101" t="s">
        <v>134</v>
      </c>
    </row>
    <row r="38" spans="3:6" x14ac:dyDescent="0.2">
      <c r="C38" s="103" t="s">
        <v>144</v>
      </c>
      <c r="D38" s="100">
        <v>1</v>
      </c>
      <c r="E38" s="100">
        <v>67</v>
      </c>
      <c r="F38" s="101" t="s">
        <v>145</v>
      </c>
    </row>
    <row r="39" spans="3:6" x14ac:dyDescent="0.2">
      <c r="C39" s="103" t="s">
        <v>146</v>
      </c>
      <c r="D39" s="100">
        <v>1</v>
      </c>
      <c r="E39" s="100">
        <v>31.94</v>
      </c>
      <c r="F39" s="101" t="s">
        <v>147</v>
      </c>
    </row>
    <row r="40" spans="3:6" x14ac:dyDescent="0.2">
      <c r="C40" s="103" t="s">
        <v>148</v>
      </c>
      <c r="D40" s="100">
        <v>1</v>
      </c>
      <c r="E40" s="100">
        <v>19.2</v>
      </c>
      <c r="F40" s="101" t="s">
        <v>149</v>
      </c>
    </row>
    <row r="41" spans="3:6" x14ac:dyDescent="0.2">
      <c r="C41" s="103" t="s">
        <v>150</v>
      </c>
      <c r="D41" s="100">
        <v>1</v>
      </c>
      <c r="E41" s="100">
        <v>55</v>
      </c>
      <c r="F41" s="101" t="s">
        <v>151</v>
      </c>
    </row>
    <row r="42" spans="3:6" x14ac:dyDescent="0.2">
      <c r="C42" s="103" t="s">
        <v>153</v>
      </c>
      <c r="D42" s="100">
        <v>1</v>
      </c>
      <c r="E42" s="100">
        <v>112</v>
      </c>
      <c r="F42" s="101" t="s">
        <v>152</v>
      </c>
    </row>
    <row r="43" spans="3:6" x14ac:dyDescent="0.2">
      <c r="C43" s="103" t="s">
        <v>154</v>
      </c>
      <c r="D43" s="100">
        <v>1</v>
      </c>
      <c r="E43" s="100">
        <v>180</v>
      </c>
      <c r="F43" s="101" t="s">
        <v>156</v>
      </c>
    </row>
    <row r="44" spans="3:6" x14ac:dyDescent="0.2">
      <c r="C44" s="103" t="s">
        <v>155</v>
      </c>
      <c r="D44" s="100">
        <v>1</v>
      </c>
      <c r="E44" s="100">
        <v>370</v>
      </c>
      <c r="F44" s="101" t="s">
        <v>157</v>
      </c>
    </row>
    <row r="45" spans="3:6" x14ac:dyDescent="0.2">
      <c r="C45" s="106" t="s">
        <v>158</v>
      </c>
      <c r="D45" s="100">
        <v>1</v>
      </c>
      <c r="E45" s="100">
        <v>51.8</v>
      </c>
      <c r="F45" s="101" t="s">
        <v>165</v>
      </c>
    </row>
    <row r="46" spans="3:6" x14ac:dyDescent="0.2">
      <c r="C46" s="106" t="s">
        <v>159</v>
      </c>
      <c r="D46" s="100">
        <v>1</v>
      </c>
      <c r="E46" s="100">
        <v>5</v>
      </c>
      <c r="F46" s="101" t="s">
        <v>166</v>
      </c>
    </row>
    <row r="47" spans="3:6" x14ac:dyDescent="0.2">
      <c r="C47" s="106" t="s">
        <v>160</v>
      </c>
      <c r="D47" s="100">
        <v>1</v>
      </c>
      <c r="E47" s="100">
        <v>35.5</v>
      </c>
      <c r="F47" s="101" t="s">
        <v>167</v>
      </c>
    </row>
    <row r="48" spans="3:6" x14ac:dyDescent="0.2">
      <c r="C48" s="106" t="s">
        <v>161</v>
      </c>
      <c r="D48" s="100">
        <v>1</v>
      </c>
      <c r="E48" s="100">
        <v>105</v>
      </c>
      <c r="F48" s="101" t="s">
        <v>168</v>
      </c>
    </row>
    <row r="49" spans="3:6" x14ac:dyDescent="0.2">
      <c r="C49" s="106" t="s">
        <v>162</v>
      </c>
      <c r="D49" s="100">
        <v>1</v>
      </c>
      <c r="E49" s="100">
        <v>59</v>
      </c>
      <c r="F49" s="101" t="s">
        <v>169</v>
      </c>
    </row>
    <row r="50" spans="3:6" x14ac:dyDescent="0.2">
      <c r="C50" s="103" t="s">
        <v>163</v>
      </c>
      <c r="D50" s="100">
        <v>1</v>
      </c>
      <c r="E50" s="100">
        <v>4695</v>
      </c>
      <c r="F50" s="101" t="s">
        <v>172</v>
      </c>
    </row>
    <row r="51" spans="3:6" x14ac:dyDescent="0.2">
      <c r="C51" s="103" t="s">
        <v>164</v>
      </c>
      <c r="D51" s="100">
        <v>1</v>
      </c>
      <c r="E51" s="100">
        <v>300</v>
      </c>
      <c r="F51" s="101" t="s">
        <v>170</v>
      </c>
    </row>
    <row r="52" spans="3:6" x14ac:dyDescent="0.2">
      <c r="C52" s="103" t="s">
        <v>171</v>
      </c>
      <c r="D52" s="100">
        <v>1</v>
      </c>
      <c r="E52" s="100">
        <v>2449</v>
      </c>
    </row>
    <row r="53" spans="3:6" x14ac:dyDescent="0.2">
      <c r="C53" s="77" t="s">
        <v>173</v>
      </c>
      <c r="D53" s="100">
        <v>1</v>
      </c>
      <c r="E53" s="100">
        <v>188.38</v>
      </c>
    </row>
    <row r="54" spans="3:6" x14ac:dyDescent="0.2">
      <c r="C54" s="106" t="s">
        <v>174</v>
      </c>
      <c r="D54" s="100">
        <v>1</v>
      </c>
      <c r="E54" s="100">
        <v>1000</v>
      </c>
    </row>
    <row r="55" spans="3:6" x14ac:dyDescent="0.2">
      <c r="C55" s="106" t="s">
        <v>175</v>
      </c>
      <c r="D55" s="100">
        <v>1</v>
      </c>
      <c r="E55" s="100">
        <v>1200</v>
      </c>
    </row>
    <row r="56" spans="3:6" x14ac:dyDescent="0.2">
      <c r="C56" s="106" t="s">
        <v>176</v>
      </c>
      <c r="D56" s="100">
        <v>1</v>
      </c>
      <c r="E56" s="100">
        <v>300</v>
      </c>
    </row>
    <row r="57" spans="3:6" x14ac:dyDescent="0.2">
      <c r="D57" s="100"/>
      <c r="E57" s="100"/>
    </row>
    <row r="58" spans="3:6" x14ac:dyDescent="0.2">
      <c r="E58">
        <f>SUM(E8:E56)</f>
        <v>37030.640000000007</v>
      </c>
    </row>
  </sheetData>
  <mergeCells count="1">
    <mergeCell ref="B4:E4"/>
  </mergeCells>
  <phoneticPr fontId="40" type="noConversion"/>
  <hyperlinks>
    <hyperlink ref="F9" r:id="rId1" xr:uid="{750022C1-0148-4D6A-B200-54BC4581B62F}"/>
    <hyperlink ref="F23" r:id="rId2" xr:uid="{A73FE051-2111-4A19-922B-4C4A739B36A9}"/>
    <hyperlink ref="F22" r:id="rId3" xr:uid="{43E8D9C5-62B0-4525-853E-832B8AF1A4F2}"/>
    <hyperlink ref="F8" r:id="rId4" xr:uid="{30EF50EC-F110-4139-A006-8A63D570A25A}"/>
    <hyperlink ref="F14" r:id="rId5" xr:uid="{22A4ADAD-F5BD-49E2-A3AC-1ED569FB4C42}"/>
    <hyperlink ref="F10" r:id="rId6" xr:uid="{AAA23B1D-666F-4743-96A3-12175122006F}"/>
    <hyperlink ref="F11" r:id="rId7" xr:uid="{2321BFE1-3C06-4C8C-918A-D117EF9BE6DD}"/>
    <hyperlink ref="F13" r:id="rId8" xr:uid="{30B610CD-51A8-45F8-A87C-6A1B3A3E8746}"/>
    <hyperlink ref="F12" r:id="rId9" xr:uid="{8CFED16A-5731-4AD1-9E3D-92F797DAE9AE}"/>
    <hyperlink ref="F15" r:id="rId10" xr:uid="{E3342DDF-5AC1-4F26-B9D9-CB979277AC57}"/>
    <hyperlink ref="F16" r:id="rId11" xr:uid="{DB74B441-9A76-448E-AD90-CC7091072DFB}"/>
    <hyperlink ref="F17" r:id="rId12" xr:uid="{1A5F54E8-D53B-4276-96D3-1CB3E88D60F4}"/>
    <hyperlink ref="F19" r:id="rId13" xr:uid="{CB26C1F3-07B0-4FD2-83D0-FBCBAC3EA915}"/>
    <hyperlink ref="F21" r:id="rId14" xr:uid="{1A0F78F2-32D3-42CA-A2E9-9F66A0263D60}"/>
    <hyperlink ref="F29" r:id="rId15" xr:uid="{8CF39146-4289-4C69-BFB1-FB0131992131}"/>
    <hyperlink ref="F28" r:id="rId16" xr:uid="{78EFE50F-BFE0-45AC-9CDB-870CFB398195}"/>
    <hyperlink ref="F31" r:id="rId17" xr:uid="{C14C03BD-AF06-4974-8DBB-000ECA83D5FB}"/>
    <hyperlink ref="F32" r:id="rId18" xr:uid="{1F890036-FFF2-4747-9E25-7BE10935B7A0}"/>
    <hyperlink ref="F34" r:id="rId19" xr:uid="{0727FCA8-4F5E-416D-9254-C5CFA88EE7E9}"/>
    <hyperlink ref="F33" r:id="rId20" xr:uid="{AEB5FC53-6F7A-411D-A9FC-B175CFDBF43F}"/>
    <hyperlink ref="F35" r:id="rId21" xr:uid="{0D4A80A2-05AF-439D-B77B-31A5323D519B}"/>
    <hyperlink ref="F36" r:id="rId22" xr:uid="{6309ABA3-50AD-4460-9A8E-EF1C1AA70023}"/>
    <hyperlink ref="F37" r:id="rId23" xr:uid="{FAA70BAA-792A-4DCA-856E-9C3267786E68}"/>
    <hyperlink ref="F20" r:id="rId24" xr:uid="{DB786325-3722-4247-8FF9-BF45EA57FE55}"/>
    <hyperlink ref="F24" r:id="rId25" xr:uid="{4E9EB574-B8F6-4B93-933F-ACF901E75D86}"/>
    <hyperlink ref="F30" r:id="rId26" xr:uid="{D608F59E-E455-4401-8D0F-558919ECDD65}"/>
    <hyperlink ref="F26" r:id="rId27" xr:uid="{BA9379DB-C747-4D41-8F74-73FA014C91CB}"/>
    <hyperlink ref="F18" r:id="rId28" xr:uid="{F3ABE784-8FE0-4F6C-9B96-1DDBAF8DD410}"/>
    <hyperlink ref="F38" r:id="rId29" xr:uid="{2F3C69DF-EEA4-416E-B8FD-C13B16B58945}"/>
    <hyperlink ref="F39" r:id="rId30" xr:uid="{ED594656-CFFD-4906-9C62-C4DC2D8574C2}"/>
    <hyperlink ref="F40" r:id="rId31" xr:uid="{62AB3588-5608-4D20-8914-6A8C6461EC15}"/>
    <hyperlink ref="F41" r:id="rId32" xr:uid="{EA7658BF-6BDE-4751-9F4D-A99CEBE08766}"/>
    <hyperlink ref="F42" r:id="rId33" xr:uid="{5529D39F-3286-4C2C-B441-117F0C1C8B59}"/>
    <hyperlink ref="F43" r:id="rId34" xr:uid="{0B81A487-3F1E-41B9-AE85-9B7C6485BAC7}"/>
    <hyperlink ref="F44" r:id="rId35" xr:uid="{3E27E6BD-D618-44BB-9247-497FEDD20175}"/>
    <hyperlink ref="F45" r:id="rId36" xr:uid="{B2F433CB-D505-44C7-ADE6-D6D3F9DD5577}"/>
    <hyperlink ref="F46" r:id="rId37" xr:uid="{6FC993EB-E4AF-40C4-96F1-AC6D0F60F42E}"/>
    <hyperlink ref="F47" r:id="rId38" xr:uid="{3FCAB276-A3D1-4649-98AA-853418A9326A}"/>
    <hyperlink ref="F48" r:id="rId39" xr:uid="{AECEA36D-702E-4B58-8F2C-F7E02CB1A065}"/>
    <hyperlink ref="F49" r:id="rId40" xr:uid="{6E4EC64B-4FDD-4717-9420-571C6DBAF71B}"/>
    <hyperlink ref="F51" r:id="rId41" xr:uid="{A7F96388-1934-49D8-86FD-370089AD0A7D}"/>
    <hyperlink ref="F50" r:id="rId42" xr:uid="{7908691E-7145-47E0-8996-B1E91AEDA45F}"/>
  </hyperlinks>
  <pageMargins left="0.7" right="0.7" top="0.75" bottom="0.75" header="0.3" footer="0.3"/>
  <pageSetup paperSize="9" orientation="portrait" r:id="rId4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1640-68DB-414D-AD22-2D1C42F3448F}">
  <dimension ref="A1:R39"/>
  <sheetViews>
    <sheetView showGridLines="0" showRuler="0" zoomScale="68" zoomScaleNormal="68" zoomScalePageLayoutView="70" workbookViewId="0">
      <selection activeCell="H14" sqref="H14"/>
    </sheetView>
  </sheetViews>
  <sheetFormatPr defaultRowHeight="14.25" x14ac:dyDescent="0.2"/>
  <cols>
    <col min="1" max="1" width="3.375" customWidth="1"/>
    <col min="2" max="2" width="3" customWidth="1"/>
    <col min="3" max="3" width="12.625" customWidth="1"/>
    <col min="4" max="4" width="17.625" customWidth="1"/>
    <col min="5" max="7" width="6.625" customWidth="1"/>
    <col min="8" max="8" width="12.625" customWidth="1"/>
    <col min="9" max="9" width="17.625" customWidth="1"/>
    <col min="11" max="11" width="22.375" customWidth="1"/>
    <col min="12" max="12" width="13.375" bestFit="1" customWidth="1"/>
    <col min="13" max="13" width="11.375" customWidth="1"/>
    <col min="14" max="14" width="11.5" customWidth="1"/>
  </cols>
  <sheetData>
    <row r="1" spans="1:11" ht="36" x14ac:dyDescent="0.2">
      <c r="A1" s="8" t="s">
        <v>16</v>
      </c>
      <c r="C1" s="8"/>
      <c r="D1" s="8"/>
      <c r="E1" s="8"/>
      <c r="F1" s="3"/>
      <c r="H1" s="7"/>
      <c r="I1" s="18" t="s">
        <v>100</v>
      </c>
    </row>
    <row r="2" spans="1:11" x14ac:dyDescent="0.2">
      <c r="A2" s="9" t="s">
        <v>17</v>
      </c>
      <c r="C2" s="9"/>
      <c r="D2" s="9"/>
      <c r="E2" s="2"/>
      <c r="F2" s="9"/>
      <c r="G2" s="2"/>
      <c r="H2" s="10"/>
      <c r="I2" s="10"/>
      <c r="K2" s="1" t="s">
        <v>11</v>
      </c>
    </row>
    <row r="3" spans="1:11" x14ac:dyDescent="0.2">
      <c r="A3" s="9" t="s">
        <v>18</v>
      </c>
      <c r="C3" s="9"/>
      <c r="D3" s="9"/>
      <c r="E3" s="2"/>
      <c r="F3" s="9"/>
      <c r="K3" s="17" t="s">
        <v>10</v>
      </c>
    </row>
    <row r="4" spans="1:11" x14ac:dyDescent="0.2">
      <c r="A4" s="9" t="s">
        <v>19</v>
      </c>
      <c r="C4" s="14"/>
      <c r="D4" s="14"/>
      <c r="E4" s="2"/>
      <c r="F4" s="9"/>
      <c r="G4" s="191" t="s">
        <v>7</v>
      </c>
      <c r="H4" s="191"/>
      <c r="I4" s="108" t="s">
        <v>0</v>
      </c>
      <c r="K4" s="1"/>
    </row>
    <row r="5" spans="1:11" x14ac:dyDescent="0.2">
      <c r="A5" s="2" t="s">
        <v>20</v>
      </c>
      <c r="C5" s="2"/>
      <c r="D5" s="2"/>
      <c r="E5" s="2"/>
      <c r="F5" s="9"/>
      <c r="G5" s="192">
        <v>1292</v>
      </c>
      <c r="H5" s="193"/>
      <c r="I5" s="109">
        <v>44904</v>
      </c>
      <c r="K5" s="6" t="s">
        <v>3</v>
      </c>
    </row>
    <row r="6" spans="1:11" x14ac:dyDescent="0.2">
      <c r="A6" s="9" t="s">
        <v>21</v>
      </c>
      <c r="C6" s="9"/>
      <c r="D6" s="9"/>
      <c r="E6" s="2"/>
      <c r="F6" s="9"/>
      <c r="G6" s="194"/>
      <c r="H6" s="194"/>
      <c r="I6" s="57"/>
      <c r="K6" s="6"/>
    </row>
    <row r="7" spans="1:11" x14ac:dyDescent="0.2">
      <c r="B7" s="2"/>
      <c r="C7" s="2"/>
      <c r="D7" s="2"/>
      <c r="E7" s="2"/>
      <c r="F7" s="9"/>
      <c r="G7" s="130"/>
      <c r="H7" s="130"/>
      <c r="I7" s="21"/>
      <c r="K7" s="1"/>
    </row>
    <row r="8" spans="1:11" ht="18" customHeight="1" x14ac:dyDescent="0.2">
      <c r="B8" s="2"/>
      <c r="C8" s="2"/>
      <c r="D8" s="2"/>
      <c r="E8" s="2"/>
      <c r="F8" s="9"/>
      <c r="G8" s="20"/>
      <c r="H8" s="20"/>
      <c r="I8" s="21"/>
      <c r="K8" s="1"/>
    </row>
    <row r="9" spans="1:11" ht="20.100000000000001" customHeight="1" x14ac:dyDescent="0.2">
      <c r="A9" s="133" t="s">
        <v>29</v>
      </c>
      <c r="B9" s="134"/>
      <c r="C9" s="134"/>
      <c r="D9" s="134"/>
      <c r="E9" s="9"/>
      <c r="H9" s="22" t="s">
        <v>28</v>
      </c>
      <c r="I9" s="25"/>
      <c r="K9" s="5"/>
    </row>
    <row r="10" spans="1:11" ht="14.25" customHeight="1" x14ac:dyDescent="0.2">
      <c r="A10" s="9" t="s">
        <v>22</v>
      </c>
      <c r="C10" s="9"/>
      <c r="D10" s="9"/>
      <c r="E10" s="9"/>
      <c r="H10" s="22"/>
      <c r="I10" s="25"/>
      <c r="K10" s="5"/>
    </row>
    <row r="11" spans="1:11" x14ac:dyDescent="0.2">
      <c r="A11" s="9" t="s">
        <v>23</v>
      </c>
      <c r="C11" s="9"/>
      <c r="D11" s="9"/>
      <c r="E11" s="9"/>
      <c r="H11" s="22"/>
      <c r="I11" s="25"/>
      <c r="K11" s="5"/>
    </row>
    <row r="12" spans="1:11" x14ac:dyDescent="0.2">
      <c r="A12" s="9" t="s">
        <v>24</v>
      </c>
      <c r="C12" s="9"/>
      <c r="D12" s="9"/>
      <c r="E12" s="9"/>
    </row>
    <row r="13" spans="1:11" x14ac:dyDescent="0.2">
      <c r="A13" s="9" t="s">
        <v>25</v>
      </c>
      <c r="C13" s="9"/>
      <c r="D13" s="9"/>
      <c r="E13" s="9"/>
    </row>
    <row r="14" spans="1:11" x14ac:dyDescent="0.2">
      <c r="A14" s="9" t="s">
        <v>26</v>
      </c>
      <c r="C14" s="9"/>
      <c r="D14" s="9"/>
      <c r="E14" s="9"/>
    </row>
    <row r="15" spans="1:11" x14ac:dyDescent="0.2">
      <c r="A15" s="2" t="s">
        <v>27</v>
      </c>
      <c r="C15" s="2"/>
      <c r="D15" s="2"/>
      <c r="E15" s="2"/>
      <c r="F15" s="2"/>
    </row>
    <row r="16" spans="1:11" x14ac:dyDescent="0.2">
      <c r="B16" s="9"/>
      <c r="C16" s="9"/>
      <c r="D16" s="9"/>
      <c r="E16" s="9"/>
      <c r="F16" s="2"/>
      <c r="G16" s="2"/>
      <c r="H16" s="2"/>
      <c r="I16" s="2"/>
      <c r="K16" s="5"/>
    </row>
    <row r="17" spans="1:18" ht="20.100000000000001" customHeight="1" x14ac:dyDescent="0.2">
      <c r="A17" s="27" t="s">
        <v>31</v>
      </c>
      <c r="B17" s="135" t="s">
        <v>30</v>
      </c>
      <c r="C17" s="136"/>
      <c r="D17" s="136"/>
      <c r="E17" s="136"/>
      <c r="F17" s="137"/>
      <c r="G17" s="15" t="s">
        <v>34</v>
      </c>
      <c r="H17" s="15" t="s">
        <v>32</v>
      </c>
      <c r="I17" s="15" t="s">
        <v>33</v>
      </c>
      <c r="K17" s="5"/>
    </row>
    <row r="18" spans="1:18" ht="18.75" customHeight="1" x14ac:dyDescent="0.2">
      <c r="B18" s="138"/>
      <c r="C18" s="139"/>
      <c r="D18" s="139"/>
      <c r="E18" s="139"/>
      <c r="F18" s="140"/>
      <c r="G18" s="40"/>
      <c r="H18" s="11"/>
      <c r="I18" s="24"/>
      <c r="K18" s="6"/>
    </row>
    <row r="19" spans="1:18" ht="28.5" customHeight="1" x14ac:dyDescent="0.2">
      <c r="B19" s="123" t="s">
        <v>181</v>
      </c>
      <c r="C19" s="124"/>
      <c r="D19" s="124"/>
      <c r="E19" s="124"/>
      <c r="F19" s="125"/>
      <c r="G19" s="12"/>
      <c r="H19" s="11"/>
      <c r="I19" s="24"/>
      <c r="J19" s="16"/>
      <c r="K19" s="6"/>
    </row>
    <row r="20" spans="1:18" ht="13.5" customHeight="1" x14ac:dyDescent="0.2">
      <c r="B20" s="35"/>
      <c r="C20" s="46"/>
      <c r="D20" s="46"/>
      <c r="E20" s="46"/>
      <c r="F20" s="36"/>
      <c r="G20" s="12"/>
      <c r="H20" s="11"/>
      <c r="I20" s="24"/>
      <c r="J20" s="16"/>
      <c r="K20" s="6"/>
    </row>
    <row r="21" spans="1:18" x14ac:dyDescent="0.2">
      <c r="A21" s="47">
        <v>1</v>
      </c>
      <c r="B21" s="126" t="s">
        <v>180</v>
      </c>
      <c r="C21" s="141"/>
      <c r="D21" s="141"/>
      <c r="E21" s="141"/>
      <c r="F21" s="153"/>
      <c r="G21" s="48">
        <v>2</v>
      </c>
      <c r="H21" s="49">
        <v>100</v>
      </c>
      <c r="I21" s="50">
        <v>200</v>
      </c>
      <c r="J21" s="16"/>
      <c r="K21" s="6"/>
    </row>
    <row r="22" spans="1:18" x14ac:dyDescent="0.2">
      <c r="A22" s="47"/>
      <c r="B22" s="126"/>
      <c r="C22" s="141"/>
      <c r="D22" s="141"/>
      <c r="E22" s="141"/>
      <c r="F22" s="153"/>
      <c r="G22" s="48"/>
      <c r="H22" s="49"/>
      <c r="I22" s="50"/>
      <c r="J22" s="16"/>
      <c r="K22" s="6"/>
    </row>
    <row r="23" spans="1:18" ht="18.75" customHeight="1" x14ac:dyDescent="0.2">
      <c r="A23" s="47">
        <v>2</v>
      </c>
      <c r="B23" s="126" t="s">
        <v>177</v>
      </c>
      <c r="C23" s="141"/>
      <c r="D23" s="141"/>
      <c r="E23" s="141"/>
      <c r="F23" s="153"/>
      <c r="G23" s="48">
        <v>2</v>
      </c>
      <c r="H23" s="49">
        <v>100</v>
      </c>
      <c r="I23" s="50">
        <v>200</v>
      </c>
      <c r="J23" s="75"/>
      <c r="K23" s="5"/>
    </row>
    <row r="24" spans="1:18" ht="9.75" customHeight="1" x14ac:dyDescent="0.2">
      <c r="A24" s="47"/>
      <c r="B24" s="126"/>
      <c r="C24" s="141"/>
      <c r="D24" s="141"/>
      <c r="E24" s="141"/>
      <c r="F24" s="153"/>
      <c r="G24" s="48"/>
      <c r="H24" s="49"/>
      <c r="I24" s="50"/>
      <c r="J24" s="75"/>
      <c r="K24" s="5"/>
    </row>
    <row r="25" spans="1:18" ht="14.25" customHeight="1" x14ac:dyDescent="0.2">
      <c r="A25" s="189">
        <v>3</v>
      </c>
      <c r="B25" s="126" t="s">
        <v>178</v>
      </c>
      <c r="C25" s="141"/>
      <c r="D25" s="141"/>
      <c r="E25" s="141"/>
      <c r="F25" s="153"/>
      <c r="G25" s="186">
        <v>2</v>
      </c>
      <c r="H25" s="187">
        <v>200</v>
      </c>
      <c r="I25" s="188">
        <v>400</v>
      </c>
      <c r="J25" s="16"/>
      <c r="K25" s="5"/>
      <c r="L25" s="77" t="s">
        <v>75</v>
      </c>
      <c r="M25" s="78" t="s">
        <v>74</v>
      </c>
      <c r="N25" s="76" t="s">
        <v>76</v>
      </c>
    </row>
    <row r="26" spans="1:18" x14ac:dyDescent="0.2">
      <c r="A26" s="189"/>
      <c r="B26" s="126"/>
      <c r="C26" s="141"/>
      <c r="D26" s="141"/>
      <c r="E26" s="141"/>
      <c r="F26" s="153"/>
      <c r="G26" s="186"/>
      <c r="H26" s="187"/>
      <c r="I26" s="188"/>
      <c r="J26" s="16"/>
      <c r="K26" s="5"/>
      <c r="L26" s="86">
        <f>I35</f>
        <v>950</v>
      </c>
      <c r="M26" s="79">
        <f>SUM(J21:J28)</f>
        <v>0</v>
      </c>
      <c r="N26" s="76">
        <f>L26-M26</f>
        <v>950</v>
      </c>
    </row>
    <row r="27" spans="1:18" x14ac:dyDescent="0.2">
      <c r="A27" s="47">
        <v>4</v>
      </c>
      <c r="B27" s="126" t="s">
        <v>179</v>
      </c>
      <c r="C27" s="141"/>
      <c r="D27" s="141"/>
      <c r="E27" s="141"/>
      <c r="F27" s="153"/>
      <c r="G27" s="186">
        <v>1</v>
      </c>
      <c r="H27" s="187">
        <v>150</v>
      </c>
      <c r="I27" s="188">
        <v>150</v>
      </c>
      <c r="J27" s="16"/>
      <c r="K27" s="16"/>
    </row>
    <row r="28" spans="1:18" x14ac:dyDescent="0.2">
      <c r="A28" s="16"/>
      <c r="B28" s="126"/>
      <c r="C28" s="141"/>
      <c r="D28" s="141"/>
      <c r="E28" s="141"/>
      <c r="F28" s="153"/>
      <c r="G28" s="186"/>
      <c r="H28" s="187"/>
      <c r="I28" s="188"/>
      <c r="J28" s="16"/>
      <c r="K28" s="16"/>
    </row>
    <row r="29" spans="1:18" x14ac:dyDescent="0.2">
      <c r="B29" s="80"/>
      <c r="C29" s="81"/>
      <c r="D29" s="81"/>
      <c r="E29" s="81"/>
      <c r="F29" s="82"/>
      <c r="G29" s="12"/>
      <c r="H29" s="33"/>
      <c r="I29" s="33"/>
    </row>
    <row r="30" spans="1:18" x14ac:dyDescent="0.2">
      <c r="B30" s="80"/>
      <c r="C30" s="81"/>
      <c r="D30" s="81"/>
      <c r="E30" s="81"/>
      <c r="F30" s="82"/>
      <c r="G30" s="12"/>
      <c r="H30" s="33"/>
      <c r="I30" s="33"/>
    </row>
    <row r="31" spans="1:18" x14ac:dyDescent="0.2">
      <c r="B31" s="80"/>
      <c r="C31" s="81"/>
      <c r="D31" s="81"/>
      <c r="E31" s="81"/>
      <c r="F31" s="82"/>
      <c r="G31" s="12"/>
      <c r="H31" s="33"/>
      <c r="I31" s="33"/>
    </row>
    <row r="32" spans="1:18" x14ac:dyDescent="0.2">
      <c r="B32" s="158"/>
      <c r="C32" s="159"/>
      <c r="D32" s="159"/>
      <c r="E32" s="159"/>
      <c r="F32" s="160"/>
      <c r="G32" s="12"/>
      <c r="H32" s="33"/>
      <c r="I32" s="33"/>
      <c r="R32" s="85"/>
    </row>
    <row r="33" spans="2:11" s="4" customFormat="1" ht="27.95" customHeight="1" x14ac:dyDescent="0.2">
      <c r="B33" s="145" t="s">
        <v>2</v>
      </c>
      <c r="C33" s="146"/>
      <c r="D33" s="146"/>
      <c r="E33" s="146"/>
      <c r="F33" s="147"/>
      <c r="G33" s="143" t="s">
        <v>13</v>
      </c>
      <c r="H33" s="144"/>
      <c r="I33" s="26">
        <f>SUM(I18:I32)</f>
        <v>950</v>
      </c>
      <c r="K33" s="6" t="s">
        <v>1</v>
      </c>
    </row>
    <row r="34" spans="2:11" ht="24" customHeight="1" x14ac:dyDescent="0.2">
      <c r="B34" s="10"/>
      <c r="C34" s="10"/>
      <c r="D34" s="10"/>
      <c r="E34" s="10"/>
      <c r="F34" s="10"/>
      <c r="G34" s="143" t="s">
        <v>14</v>
      </c>
      <c r="H34" s="144"/>
      <c r="I34" s="26">
        <v>0</v>
      </c>
      <c r="K34" s="6" t="s">
        <v>15</v>
      </c>
    </row>
    <row r="35" spans="2:11" ht="24" customHeight="1" x14ac:dyDescent="0.2">
      <c r="B35" s="10"/>
      <c r="C35" s="10"/>
      <c r="D35" s="10"/>
      <c r="E35" s="10"/>
      <c r="F35" s="10"/>
      <c r="G35" s="182" t="s">
        <v>182</v>
      </c>
      <c r="H35" s="183"/>
      <c r="I35" s="68">
        <f>I33+I34</f>
        <v>950</v>
      </c>
    </row>
    <row r="36" spans="2:11" ht="24" customHeight="1" x14ac:dyDescent="0.2">
      <c r="B36" s="10"/>
      <c r="C36" s="10"/>
      <c r="D36" s="10"/>
      <c r="E36" s="10"/>
      <c r="F36" s="10"/>
      <c r="G36" s="94"/>
      <c r="H36" s="94"/>
      <c r="I36" s="95"/>
    </row>
    <row r="37" spans="2:11" ht="14.25" customHeight="1" x14ac:dyDescent="0.2">
      <c r="B37" s="148" t="s">
        <v>72</v>
      </c>
      <c r="C37" s="148"/>
      <c r="D37" s="148"/>
      <c r="E37" s="148"/>
      <c r="F37" s="148"/>
      <c r="G37" s="148"/>
      <c r="H37" s="148"/>
      <c r="I37" s="148"/>
    </row>
    <row r="38" spans="2:11" ht="14.25" customHeight="1" x14ac:dyDescent="0.2">
      <c r="B38" s="41"/>
      <c r="C38" s="41"/>
      <c r="D38" s="41"/>
      <c r="E38" s="41"/>
      <c r="F38" s="41"/>
      <c r="G38" s="41"/>
      <c r="H38" s="41"/>
      <c r="I38" s="41"/>
    </row>
    <row r="39" spans="2:11" s="110" customFormat="1" ht="15" x14ac:dyDescent="0.25">
      <c r="B39" s="110" t="s">
        <v>71</v>
      </c>
    </row>
  </sheetData>
  <mergeCells count="25">
    <mergeCell ref="B18:F18"/>
    <mergeCell ref="B19:F19"/>
    <mergeCell ref="A25:A26"/>
    <mergeCell ref="B25:F26"/>
    <mergeCell ref="G4:H4"/>
    <mergeCell ref="G5:H5"/>
    <mergeCell ref="G6:H6"/>
    <mergeCell ref="G7:H7"/>
    <mergeCell ref="A9:D9"/>
    <mergeCell ref="B17:F17"/>
    <mergeCell ref="B21:F22"/>
    <mergeCell ref="B23:F24"/>
    <mergeCell ref="G35:H35"/>
    <mergeCell ref="B37:I37"/>
    <mergeCell ref="B32:F32"/>
    <mergeCell ref="G25:G26"/>
    <mergeCell ref="H25:H26"/>
    <mergeCell ref="I25:I26"/>
    <mergeCell ref="B27:F28"/>
    <mergeCell ref="G27:G28"/>
    <mergeCell ref="H27:H28"/>
    <mergeCell ref="I27:I28"/>
    <mergeCell ref="B33:F33"/>
    <mergeCell ref="G33:H33"/>
    <mergeCell ref="G34:H34"/>
  </mergeCells>
  <hyperlinks>
    <hyperlink ref="K3" r:id="rId1" display="https://www.vertex42.com/ExcelTemplates/quote-template.html" xr:uid="{D5AF34F2-1124-411D-81B4-306EA5793A70}"/>
  </hyperlinks>
  <printOptions horizontalCentered="1"/>
  <pageMargins left="0.5" right="0.5" top="0.5" bottom="0.5" header="0.5" footer="0.25"/>
  <pageSetup fitToHeight="0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A532-98AB-45C4-B8A2-BAE0AD2355E7}">
  <dimension ref="A1:R39"/>
  <sheetViews>
    <sheetView showGridLines="0" showRuler="0" topLeftCell="A12" zoomScale="130" zoomScaleNormal="130" zoomScalePageLayoutView="70" workbookViewId="0">
      <selection activeCell="K22" sqref="K22"/>
    </sheetView>
  </sheetViews>
  <sheetFormatPr defaultRowHeight="14.25" x14ac:dyDescent="0.2"/>
  <cols>
    <col min="1" max="1" width="3.375" customWidth="1"/>
    <col min="2" max="2" width="3" customWidth="1"/>
    <col min="3" max="3" width="12.625" customWidth="1"/>
    <col min="4" max="4" width="17.625" customWidth="1"/>
    <col min="5" max="7" width="6.625" customWidth="1"/>
    <col min="8" max="8" width="12.625" customWidth="1"/>
    <col min="9" max="9" width="17.625" customWidth="1"/>
    <col min="11" max="11" width="22.375" customWidth="1"/>
    <col min="12" max="12" width="13.375" bestFit="1" customWidth="1"/>
    <col min="13" max="13" width="11.375" customWidth="1"/>
    <col min="14" max="14" width="11.5" customWidth="1"/>
  </cols>
  <sheetData>
    <row r="1" spans="1:11" ht="36" x14ac:dyDescent="0.2">
      <c r="A1" s="8" t="s">
        <v>16</v>
      </c>
      <c r="C1" s="8"/>
      <c r="D1" s="8"/>
      <c r="E1" s="8"/>
      <c r="F1" s="3"/>
      <c r="H1" s="7"/>
      <c r="I1" s="18" t="s">
        <v>6</v>
      </c>
    </row>
    <row r="2" spans="1:11" x14ac:dyDescent="0.2">
      <c r="A2" s="9" t="s">
        <v>17</v>
      </c>
      <c r="C2" s="9"/>
      <c r="D2" s="9"/>
      <c r="E2" s="2"/>
      <c r="F2" s="9"/>
      <c r="G2" s="2"/>
      <c r="H2" s="10"/>
      <c r="I2" s="10"/>
      <c r="K2" s="1" t="s">
        <v>11</v>
      </c>
    </row>
    <row r="3" spans="1:11" x14ac:dyDescent="0.2">
      <c r="A3" s="9" t="s">
        <v>18</v>
      </c>
      <c r="C3" s="9"/>
      <c r="D3" s="9"/>
      <c r="E3" s="2"/>
      <c r="F3" s="9"/>
      <c r="K3" s="17" t="s">
        <v>10</v>
      </c>
    </row>
    <row r="4" spans="1:11" x14ac:dyDescent="0.2">
      <c r="A4" s="9" t="s">
        <v>19</v>
      </c>
      <c r="C4" s="14"/>
      <c r="D4" s="14"/>
      <c r="E4" s="2"/>
      <c r="F4" s="9"/>
      <c r="G4" s="122" t="s">
        <v>7</v>
      </c>
      <c r="H4" s="122"/>
      <c r="I4" s="15" t="s">
        <v>0</v>
      </c>
      <c r="K4" s="1"/>
    </row>
    <row r="5" spans="1:11" x14ac:dyDescent="0.2">
      <c r="A5" s="2" t="s">
        <v>20</v>
      </c>
      <c r="C5" s="2"/>
      <c r="D5" s="2"/>
      <c r="E5" s="2"/>
      <c r="F5" s="9"/>
      <c r="G5" s="157">
        <v>3121</v>
      </c>
      <c r="H5" s="157"/>
      <c r="I5" s="13">
        <v>44918</v>
      </c>
      <c r="K5" s="6" t="s">
        <v>3</v>
      </c>
    </row>
    <row r="6" spans="1:11" x14ac:dyDescent="0.2">
      <c r="A6" s="9" t="s">
        <v>21</v>
      </c>
      <c r="C6" s="9"/>
      <c r="D6" s="9"/>
      <c r="E6" s="2"/>
      <c r="F6" s="9"/>
      <c r="G6" s="122" t="s">
        <v>9</v>
      </c>
      <c r="H6" s="122"/>
      <c r="I6" s="15" t="s">
        <v>8</v>
      </c>
      <c r="K6" s="6"/>
    </row>
    <row r="7" spans="1:11" x14ac:dyDescent="0.2">
      <c r="B7" s="2"/>
      <c r="C7" s="2"/>
      <c r="D7" s="2"/>
      <c r="E7" s="2"/>
      <c r="F7" s="9"/>
      <c r="G7" s="157"/>
      <c r="H7" s="157"/>
      <c r="I7" s="19">
        <f>I5+15</f>
        <v>44933</v>
      </c>
      <c r="K7" s="1"/>
    </row>
    <row r="8" spans="1:11" ht="18" customHeight="1" x14ac:dyDescent="0.2">
      <c r="B8" s="2"/>
      <c r="C8" s="2"/>
      <c r="D8" s="2"/>
      <c r="E8" s="2"/>
      <c r="F8" s="9"/>
      <c r="G8" s="20"/>
      <c r="H8" s="20"/>
      <c r="I8" s="21"/>
      <c r="K8" s="1"/>
    </row>
    <row r="9" spans="1:11" ht="20.100000000000001" customHeight="1" x14ac:dyDescent="0.2">
      <c r="A9" s="133" t="s">
        <v>29</v>
      </c>
      <c r="B9" s="134"/>
      <c r="C9" s="134"/>
      <c r="D9" s="134"/>
      <c r="E9" s="9"/>
      <c r="H9" s="22" t="s">
        <v>28</v>
      </c>
      <c r="I9" s="25"/>
      <c r="K9" s="5"/>
    </row>
    <row r="10" spans="1:11" ht="14.25" customHeight="1" x14ac:dyDescent="0.2">
      <c r="A10" s="9" t="s">
        <v>22</v>
      </c>
      <c r="C10" s="9"/>
      <c r="D10" s="9"/>
      <c r="E10" s="9"/>
      <c r="H10" s="22"/>
      <c r="I10" s="25"/>
      <c r="K10" s="5"/>
    </row>
    <row r="11" spans="1:11" x14ac:dyDescent="0.2">
      <c r="A11" s="9" t="s">
        <v>23</v>
      </c>
      <c r="C11" s="9"/>
      <c r="D11" s="9"/>
      <c r="E11" s="9"/>
      <c r="H11" s="22"/>
      <c r="I11" s="25"/>
      <c r="K11" s="5"/>
    </row>
    <row r="12" spans="1:11" x14ac:dyDescent="0.2">
      <c r="A12" s="9" t="s">
        <v>24</v>
      </c>
      <c r="C12" s="9"/>
      <c r="D12" s="9"/>
      <c r="E12" s="9"/>
    </row>
    <row r="13" spans="1:11" x14ac:dyDescent="0.2">
      <c r="A13" s="9" t="s">
        <v>25</v>
      </c>
      <c r="C13" s="9"/>
      <c r="D13" s="9"/>
      <c r="E13" s="9"/>
    </row>
    <row r="14" spans="1:11" x14ac:dyDescent="0.2">
      <c r="A14" s="9" t="s">
        <v>26</v>
      </c>
      <c r="C14" s="9"/>
      <c r="D14" s="9"/>
      <c r="E14" s="9"/>
    </row>
    <row r="15" spans="1:11" x14ac:dyDescent="0.2">
      <c r="A15" s="2" t="s">
        <v>27</v>
      </c>
      <c r="C15" s="2"/>
      <c r="D15" s="2"/>
      <c r="E15" s="2"/>
      <c r="F15" s="2"/>
    </row>
    <row r="16" spans="1:11" x14ac:dyDescent="0.2">
      <c r="B16" s="9"/>
      <c r="C16" s="9"/>
      <c r="D16" s="9"/>
      <c r="E16" s="9"/>
      <c r="F16" s="2"/>
      <c r="G16" s="2"/>
      <c r="H16" s="2"/>
      <c r="I16" s="2"/>
      <c r="K16" s="5"/>
    </row>
    <row r="17" spans="1:18" ht="20.100000000000001" customHeight="1" x14ac:dyDescent="0.2">
      <c r="A17" s="27" t="s">
        <v>31</v>
      </c>
      <c r="B17" s="135" t="s">
        <v>30</v>
      </c>
      <c r="C17" s="136"/>
      <c r="D17" s="136"/>
      <c r="E17" s="136"/>
      <c r="F17" s="137"/>
      <c r="G17" s="15" t="s">
        <v>34</v>
      </c>
      <c r="H17" s="15" t="s">
        <v>32</v>
      </c>
      <c r="I17" s="15" t="s">
        <v>33</v>
      </c>
      <c r="K17" s="5"/>
    </row>
    <row r="18" spans="1:18" ht="18.75" customHeight="1" x14ac:dyDescent="0.2">
      <c r="B18" s="138"/>
      <c r="C18" s="139"/>
      <c r="D18" s="139"/>
      <c r="E18" s="139"/>
      <c r="F18" s="140"/>
      <c r="G18" s="40"/>
      <c r="H18" s="11"/>
      <c r="I18" s="24"/>
      <c r="K18" s="6"/>
    </row>
    <row r="19" spans="1:18" ht="28.5" customHeight="1" x14ac:dyDescent="0.2">
      <c r="B19" s="123" t="s">
        <v>185</v>
      </c>
      <c r="C19" s="124"/>
      <c r="D19" s="124"/>
      <c r="E19" s="124"/>
      <c r="F19" s="125"/>
      <c r="G19" s="12"/>
      <c r="H19" s="11"/>
      <c r="I19" s="24"/>
      <c r="J19" s="16"/>
      <c r="K19" s="6"/>
    </row>
    <row r="20" spans="1:18" ht="13.5" customHeight="1" x14ac:dyDescent="0.2">
      <c r="B20" s="35"/>
      <c r="C20" s="46"/>
      <c r="D20" s="46"/>
      <c r="E20" s="46"/>
      <c r="F20" s="36"/>
      <c r="G20" s="12"/>
      <c r="H20" s="11"/>
      <c r="I20" s="24"/>
      <c r="J20" s="16"/>
      <c r="K20" s="6"/>
    </row>
    <row r="21" spans="1:18" x14ac:dyDescent="0.2">
      <c r="A21" s="47">
        <v>1</v>
      </c>
      <c r="B21" s="158" t="s">
        <v>184</v>
      </c>
      <c r="C21" s="159"/>
      <c r="D21" s="159"/>
      <c r="E21" s="159"/>
      <c r="F21" s="160"/>
      <c r="G21" s="12">
        <v>1</v>
      </c>
      <c r="H21" s="33">
        <v>3099</v>
      </c>
      <c r="I21" s="33">
        <v>3099</v>
      </c>
      <c r="J21" s="16">
        <v>2000</v>
      </c>
      <c r="K21" s="6"/>
    </row>
    <row r="22" spans="1:18" ht="14.25" customHeight="1" x14ac:dyDescent="0.2">
      <c r="A22" s="47">
        <v>2</v>
      </c>
      <c r="B22" s="158" t="s">
        <v>39</v>
      </c>
      <c r="C22" s="159"/>
      <c r="D22" s="159"/>
      <c r="E22" s="159"/>
      <c r="F22" s="160"/>
      <c r="G22" s="12">
        <v>1</v>
      </c>
      <c r="H22" s="11">
        <v>250</v>
      </c>
      <c r="I22" s="24">
        <v>250</v>
      </c>
      <c r="J22" s="16">
        <v>50</v>
      </c>
    </row>
    <row r="23" spans="1:18" ht="14.25" customHeight="1" x14ac:dyDescent="0.2">
      <c r="A23" s="47">
        <v>3</v>
      </c>
      <c r="B23" s="158" t="s">
        <v>183</v>
      </c>
      <c r="C23" s="159"/>
      <c r="D23" s="159"/>
      <c r="E23" s="159"/>
      <c r="F23" s="160"/>
      <c r="G23" s="20">
        <v>1</v>
      </c>
      <c r="H23" s="11">
        <v>50</v>
      </c>
      <c r="I23" s="33">
        <v>50</v>
      </c>
      <c r="J23" s="16">
        <v>30</v>
      </c>
      <c r="L23" s="77" t="s">
        <v>75</v>
      </c>
      <c r="M23" s="78" t="s">
        <v>74</v>
      </c>
      <c r="N23" s="76" t="s">
        <v>76</v>
      </c>
    </row>
    <row r="24" spans="1:18" x14ac:dyDescent="0.2">
      <c r="B24" s="80"/>
      <c r="C24" s="81"/>
      <c r="D24" s="81"/>
      <c r="E24" s="81"/>
      <c r="F24" s="82"/>
      <c r="G24" s="12"/>
      <c r="H24" s="33"/>
      <c r="I24" s="33"/>
      <c r="L24" s="86">
        <f>I28</f>
        <v>3399</v>
      </c>
      <c r="M24" s="79">
        <f>SUM(J21:J23)</f>
        <v>2080</v>
      </c>
      <c r="N24" s="76">
        <f>L24-M24</f>
        <v>1319</v>
      </c>
    </row>
    <row r="25" spans="1:18" x14ac:dyDescent="0.2">
      <c r="B25" s="158"/>
      <c r="C25" s="159"/>
      <c r="D25" s="159"/>
      <c r="E25" s="159"/>
      <c r="F25" s="160"/>
      <c r="G25" s="12"/>
      <c r="H25" s="33"/>
      <c r="I25" s="33"/>
      <c r="R25" s="85"/>
    </row>
    <row r="26" spans="1:18" s="4" customFormat="1" ht="27.95" customHeight="1" x14ac:dyDescent="0.2">
      <c r="B26" s="145" t="s">
        <v>2</v>
      </c>
      <c r="C26" s="146"/>
      <c r="D26" s="146"/>
      <c r="E26" s="146"/>
      <c r="F26" s="147"/>
      <c r="G26" s="143" t="s">
        <v>13</v>
      </c>
      <c r="H26" s="144"/>
      <c r="I26" s="26">
        <f>SUM(I18:I25)</f>
        <v>3399</v>
      </c>
      <c r="K26" s="6" t="s">
        <v>1</v>
      </c>
    </row>
    <row r="27" spans="1:18" ht="24" customHeight="1" x14ac:dyDescent="0.2">
      <c r="B27" s="10"/>
      <c r="C27" s="10"/>
      <c r="D27" s="10"/>
      <c r="E27" s="10"/>
      <c r="F27" s="10"/>
      <c r="G27" s="143" t="s">
        <v>14</v>
      </c>
      <c r="H27" s="144"/>
      <c r="I27" s="26">
        <v>0</v>
      </c>
      <c r="K27" s="6" t="s">
        <v>15</v>
      </c>
    </row>
    <row r="28" spans="1:18" ht="24" customHeight="1" x14ac:dyDescent="0.2">
      <c r="B28" s="10"/>
      <c r="C28" s="10"/>
      <c r="D28" s="10"/>
      <c r="E28" s="10"/>
      <c r="F28" s="10"/>
      <c r="G28" s="182" t="s">
        <v>12</v>
      </c>
      <c r="H28" s="183"/>
      <c r="I28" s="68">
        <f>I26+I27</f>
        <v>3399</v>
      </c>
    </row>
    <row r="29" spans="1:18" ht="14.25" customHeight="1" x14ac:dyDescent="0.2">
      <c r="B29" s="148" t="s">
        <v>70</v>
      </c>
      <c r="C29" s="148"/>
      <c r="D29" s="148"/>
      <c r="E29" s="148"/>
      <c r="F29" s="148"/>
      <c r="G29" s="148"/>
      <c r="H29" s="148"/>
      <c r="I29" s="148"/>
      <c r="K29" s="6" t="s">
        <v>5</v>
      </c>
    </row>
    <row r="30" spans="1:18" ht="14.25" customHeight="1" x14ac:dyDescent="0.2">
      <c r="B30" s="148"/>
      <c r="C30" s="148"/>
      <c r="D30" s="148"/>
      <c r="E30" s="148"/>
      <c r="F30" s="148"/>
      <c r="G30" s="148"/>
      <c r="H30" s="148"/>
      <c r="I30" s="148"/>
      <c r="K30" s="6"/>
    </row>
    <row r="31" spans="1:18" ht="14.25" customHeight="1" x14ac:dyDescent="0.2">
      <c r="B31" s="67"/>
      <c r="C31" s="67"/>
      <c r="D31" s="67"/>
      <c r="E31" s="67"/>
      <c r="F31" s="67"/>
      <c r="G31" s="67"/>
      <c r="H31" s="67"/>
      <c r="I31" s="67"/>
      <c r="K31" s="6"/>
    </row>
    <row r="32" spans="1:18" ht="14.25" customHeight="1" x14ac:dyDescent="0.2">
      <c r="B32" s="148" t="s">
        <v>72</v>
      </c>
      <c r="C32" s="148"/>
      <c r="D32" s="148"/>
      <c r="E32" s="148"/>
      <c r="F32" s="148"/>
      <c r="G32" s="148"/>
      <c r="H32" s="148"/>
      <c r="I32" s="148"/>
    </row>
    <row r="33" spans="2:11" ht="14.25" customHeight="1" x14ac:dyDescent="0.2">
      <c r="B33" s="41"/>
      <c r="C33" s="41"/>
      <c r="D33" s="41"/>
      <c r="E33" s="41"/>
      <c r="F33" s="41"/>
      <c r="G33" s="41"/>
      <c r="H33" s="41"/>
      <c r="I33" s="41"/>
    </row>
    <row r="34" spans="2:11" ht="116.25" customHeight="1" x14ac:dyDescent="0.2">
      <c r="B34" s="10"/>
      <c r="C34" s="10"/>
      <c r="D34" s="10"/>
      <c r="E34" s="10"/>
      <c r="F34" s="10"/>
      <c r="G34" s="142" t="s">
        <v>73</v>
      </c>
      <c r="H34" s="142"/>
      <c r="I34" s="142"/>
    </row>
    <row r="35" spans="2:11" x14ac:dyDescent="0.2">
      <c r="B35" s="10"/>
      <c r="C35" s="10"/>
      <c r="D35" s="10"/>
      <c r="E35" s="10"/>
      <c r="F35" s="10"/>
      <c r="G35" s="142"/>
      <c r="H35" s="142"/>
      <c r="I35" s="142"/>
      <c r="K35" s="6" t="s">
        <v>4</v>
      </c>
    </row>
    <row r="39" spans="2:11" x14ac:dyDescent="0.2">
      <c r="B39" t="s">
        <v>71</v>
      </c>
    </row>
  </sheetData>
  <mergeCells count="19">
    <mergeCell ref="B32:I32"/>
    <mergeCell ref="G34:I35"/>
    <mergeCell ref="B25:F25"/>
    <mergeCell ref="G26:H26"/>
    <mergeCell ref="G27:H27"/>
    <mergeCell ref="B26:F26"/>
    <mergeCell ref="G28:H28"/>
    <mergeCell ref="B29:I30"/>
    <mergeCell ref="B18:F18"/>
    <mergeCell ref="B19:F19"/>
    <mergeCell ref="B21:F21"/>
    <mergeCell ref="B22:F22"/>
    <mergeCell ref="B23:F23"/>
    <mergeCell ref="B17:F17"/>
    <mergeCell ref="G4:H4"/>
    <mergeCell ref="G5:H5"/>
    <mergeCell ref="G6:H6"/>
    <mergeCell ref="G7:H7"/>
    <mergeCell ref="A9:D9"/>
  </mergeCells>
  <hyperlinks>
    <hyperlink ref="K3" r:id="rId1" display="https://www.vertex42.com/ExcelTemplates/quote-template.html" xr:uid="{AA35FBF2-424D-4F5B-9DD2-71D2AF94BF0F}"/>
  </hyperlinks>
  <printOptions horizontalCentered="1"/>
  <pageMargins left="0.5" right="0.5" top="0.5" bottom="0.5" header="0.5" footer="0.25"/>
  <pageSetup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MAIN QUOTE</vt:lpstr>
      <vt:lpstr>QUOTE 1</vt:lpstr>
      <vt:lpstr>QUOTE 2</vt:lpstr>
      <vt:lpstr>QUOTE 3</vt:lpstr>
      <vt:lpstr>Tambah TV</vt:lpstr>
      <vt:lpstr>Modal</vt:lpstr>
      <vt:lpstr>Pindah TV</vt:lpstr>
      <vt:lpstr>Tambah TV (2)</vt:lpstr>
      <vt:lpstr>'MAIN QUOTE'!Print_Area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Quotation Template</dc:title>
  <dc:creator>Vertex42.com</dc:creator>
  <dc:description>(c) 2017 Vertex42 LLC. All Rights Reserved.</dc:description>
  <cp:lastModifiedBy>z1843</cp:lastModifiedBy>
  <cp:lastPrinted>2026-02-11T14:11:14Z</cp:lastPrinted>
  <dcterms:created xsi:type="dcterms:W3CDTF">2004-08-16T18:44:14Z</dcterms:created>
  <dcterms:modified xsi:type="dcterms:W3CDTF">2026-02-12T05:00:52Z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https://www.vertex42.com/ExcelTemplates/quote-template.html</vt:lpwstr>
  </property>
</Properties>
</file>