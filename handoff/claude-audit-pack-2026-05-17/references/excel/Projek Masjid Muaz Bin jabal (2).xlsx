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E26D6E3-F122-49A3-9BC8-9F6DBAEAE6E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IN QUOTE" sheetId="1" r:id="rId1"/>
    <sheet name="2" sheetId="2" state="hidden" r:id="rId2"/>
    <sheet name="3" sheetId="3" state="hidden" r:id="rId3"/>
    <sheet name="3842" sheetId="4" state="hidden" r:id="rId4"/>
    <sheet name="MAIN QUOTE (3)" sheetId="5" state="hidden" r:id="rId5"/>
    <sheet name="4316" sheetId="6" r:id="rId6"/>
    <sheet name="VD2" sheetId="7" r:id="rId7"/>
    <sheet name="Copy of 3871" sheetId="8" r:id="rId8"/>
    <sheet name="INV-2625" sheetId="9" r:id="rId9"/>
    <sheet name="INV-2628" sheetId="10" r:id="rId10"/>
    <sheet name="INV-2639" sheetId="11" r:id="rId11"/>
    <sheet name="INV-2641" sheetId="12" r:id="rId12"/>
    <sheet name="INV-2642" sheetId="13" r:id="rId13"/>
    <sheet name="Barang" sheetId="14" r:id="rId14"/>
    <sheet name="Sheet1" sheetId="15" r:id="rId15"/>
    <sheet name="MAIN QUOTE (2)" sheetId="16" state="hidden" r:id="rId16"/>
    <sheet name="QUOTE 1" sheetId="17" state="hidden" r:id="rId17"/>
    <sheet name="QUOTE 2" sheetId="18" state="hidden" r:id="rId18"/>
    <sheet name="QUOTE 3" sheetId="19" state="hidden" r:id="rId19"/>
    <sheet name="Modal" sheetId="20" r:id="rId20"/>
  </sheets>
  <externalReferences>
    <externalReference r:id="rId21"/>
  </externalReferences>
  <definedNames>
    <definedName name="btnAll">"btnCustProfile,btnCustOR,btnCustDN,btnCustCN,btnSuppProfile,btnSuppPV,btnInv,btnQuote,btnCS,btnSO,btnDO,btnSuppPO,btnStock,btnIMS"</definedName>
    <definedName name="Cust_ddown">[1]!Cust_list[Company]</definedName>
    <definedName name="_xlnm.Print_Area" localSheetId="5">'4316'!$A$1:$I$36</definedName>
    <definedName name="Supp_ddown">[1]!Supp_list[Company]</definedName>
    <definedName name="valuevx">42.314159</definedName>
    <definedName name="vertex42_copyright">"© 2017 Vertex42 LLC"</definedName>
    <definedName name="vertex42_id">"quotation-template.xlsx"</definedName>
    <definedName name="vertex42_title">"Quotation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vno+GLWcBStu17n2Wn5yxOos9dKoQMJ4vknccSASF5A="/>
    </ext>
  </extLst>
</workbook>
</file>

<file path=xl/calcChain.xml><?xml version="1.0" encoding="utf-8"?>
<calcChain xmlns="http://schemas.openxmlformats.org/spreadsheetml/2006/main">
  <c r="M23" i="6" l="1"/>
  <c r="I24" i="6"/>
  <c r="I26" i="6" s="1"/>
  <c r="L23" i="6" s="1"/>
  <c r="E58" i="20"/>
  <c r="I41" i="19"/>
  <c r="I43" i="19" s="1"/>
  <c r="L37" i="19" s="1"/>
  <c r="M37" i="19"/>
  <c r="K19" i="19"/>
  <c r="I7" i="19"/>
  <c r="I72" i="18"/>
  <c r="I74" i="18" s="1"/>
  <c r="L68" i="18" s="1"/>
  <c r="M68" i="18"/>
  <c r="L38" i="18"/>
  <c r="I7" i="18"/>
  <c r="I76" i="17"/>
  <c r="I78" i="17" s="1"/>
  <c r="L72" i="17" s="1"/>
  <c r="M72" i="17"/>
  <c r="N47" i="17"/>
  <c r="N43" i="17"/>
  <c r="I7" i="17"/>
  <c r="I83" i="16"/>
  <c r="I85" i="16" s="1"/>
  <c r="L75" i="16" s="1"/>
  <c r="M75" i="16"/>
  <c r="N69" i="16"/>
  <c r="C20" i="15"/>
  <c r="E38" i="14"/>
  <c r="E56" i="14" s="1"/>
  <c r="J8" i="14"/>
  <c r="I31" i="13"/>
  <c r="I33" i="13" s="1"/>
  <c r="L30" i="13" s="1"/>
  <c r="M30" i="13"/>
  <c r="I31" i="12"/>
  <c r="I33" i="12" s="1"/>
  <c r="L30" i="12" s="1"/>
  <c r="M30" i="12"/>
  <c r="M63" i="11"/>
  <c r="I54" i="11"/>
  <c r="I39" i="11"/>
  <c r="M63" i="10"/>
  <c r="I54" i="10"/>
  <c r="I39" i="10"/>
  <c r="M63" i="9"/>
  <c r="I54" i="9"/>
  <c r="I39" i="9"/>
  <c r="I24" i="8"/>
  <c r="I26" i="8" s="1"/>
  <c r="L21" i="8" s="1"/>
  <c r="M21" i="8"/>
  <c r="J22" i="7"/>
  <c r="J7" i="7"/>
  <c r="I59" i="5"/>
  <c r="I61" i="5" s="1"/>
  <c r="O32" i="5" s="1"/>
  <c r="P32" i="5"/>
  <c r="M63" i="4"/>
  <c r="I39" i="4"/>
  <c r="I70" i="4" s="1"/>
  <c r="I72" i="4" s="1"/>
  <c r="L63" i="4" s="1"/>
  <c r="I34" i="3"/>
  <c r="I36" i="3" s="1"/>
  <c r="M63" i="2"/>
  <c r="I39" i="2"/>
  <c r="I70" i="2" s="1"/>
  <c r="I72" i="2" s="1"/>
  <c r="L63" i="2" s="1"/>
  <c r="M63" i="1"/>
  <c r="I39" i="1"/>
  <c r="I70" i="1" s="1"/>
  <c r="I72" i="1" s="1"/>
  <c r="L63" i="1" s="1"/>
  <c r="N63" i="4" l="1"/>
  <c r="N63" i="1"/>
  <c r="N21" i="8"/>
  <c r="N75" i="16"/>
  <c r="N37" i="19"/>
  <c r="N63" i="2"/>
  <c r="N30" i="12"/>
  <c r="N30" i="13"/>
  <c r="N72" i="17"/>
  <c r="I70" i="9"/>
  <c r="I73" i="9" s="1"/>
  <c r="L63" i="9" s="1"/>
  <c r="N63" i="9" s="1"/>
  <c r="Q32" i="5"/>
  <c r="N68" i="18"/>
  <c r="N23" i="6"/>
  <c r="I70" i="11"/>
  <c r="I74" i="11" s="1"/>
  <c r="L63" i="11" s="1"/>
  <c r="N63" i="11" s="1"/>
  <c r="I70" i="10"/>
  <c r="I74" i="10" s="1"/>
  <c r="L63" i="10" s="1"/>
  <c r="N63" i="10" s="1"/>
</calcChain>
</file>

<file path=xl/sharedStrings.xml><?xml version="1.0" encoding="utf-8"?>
<sst xmlns="http://schemas.openxmlformats.org/spreadsheetml/2006/main" count="1232" uniqueCount="382">
  <si>
    <t>NAS CERIA SERVICES(003035718-X)</t>
  </si>
  <si>
    <t>QUOTATION</t>
  </si>
  <si>
    <t>14-1,1ST FLOOR,JALAN WANGSA BUDI 1,</t>
  </si>
  <si>
    <t>© 2017 Vertex42 LLC</t>
  </si>
  <si>
    <t>TAMAN WANGSA MELAWATI.</t>
  </si>
  <si>
    <t>Quote Template</t>
  </si>
  <si>
    <t>53300 KUALA LUMPUR</t>
  </si>
  <si>
    <t>QUOTATION #</t>
  </si>
  <si>
    <t>DATE</t>
  </si>
  <si>
    <t>TEL : 019-3733467</t>
  </si>
  <si>
    <t>← Press CTRL+SemiColon to enter the current date</t>
  </si>
  <si>
    <t>EMAIL : Toncet30@gmail.com</t>
  </si>
  <si>
    <t xml:space="preserve">CUSTOMER </t>
  </si>
  <si>
    <t>Prepared By: Hakim</t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</si>
  <si>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</si>
  <si>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</si>
  <si>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t>No</t>
  </si>
  <si>
    <t>Item | Description</t>
  </si>
  <si>
    <t>Qty</t>
  </si>
  <si>
    <t>Rate (RM)</t>
  </si>
  <si>
    <t>AMOUNT (RM)</t>
  </si>
  <si>
    <t>Kerja-kerja dan alat bagi kerja-kerja PTZ CCTV, PC Live Streaming Dan Display TV</t>
  </si>
  <si>
    <t>Bilik Muazzin</t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</si>
  <si>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router to switch include RJ45 plug both end cable</t>
    </r>
  </si>
  <si>
    <t>KAMEHA KA072 5 PORT HDMI SWITCH</t>
  </si>
  <si>
    <t xml:space="preserve">Bundle HDMI Cable 2.0 High Speed 18Gbps 4K </t>
  </si>
  <si>
    <t>5mx3, 1.5mx3, 5mx3</t>
  </si>
  <si>
    <t>To supply and install 13A plug point for electronic device</t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</si>
  <si>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RJ45 plug both end cable</t>
    </r>
  </si>
  <si>
    <t>Bundle Cable Organizer Management</t>
  </si>
  <si>
    <t xml:space="preserve">CentRacks 9U Wall Mount Server Rack </t>
  </si>
  <si>
    <t>TP-Link 8-port Gigabit Network Switch</t>
  </si>
  <si>
    <t>Hikvision 4-ch 1U K Series AcuSense 4K NVR</t>
  </si>
  <si>
    <t>Toshiba V300/S300 2TB Surveillance CCTV Hard Disk</t>
  </si>
  <si>
    <t xml:space="preserve">Maono AME2 Professional Sound Card Audio Interface Mixer </t>
  </si>
  <si>
    <t>Audio Cable with XLR both end from Mixer to USB Audio Interface with XLR port splitter</t>
  </si>
  <si>
    <t>Smart wifi remote control for switching display</t>
  </si>
  <si>
    <t>APC LS1500-MS Automatic Voltage Regulator</t>
  </si>
  <si>
    <t>Caj memindahkan peti besi ke depan pintu ( Bilik Muazzin )</t>
  </si>
  <si>
    <t>Dewan Solat Luar</t>
  </si>
  <si>
    <t>Samsung 75" Crystal UHD DU7000 4K Tizen OS Smart TV</t>
  </si>
  <si>
    <t>Bundle Tv Mount Bracket for up to 75" TV</t>
  </si>
  <si>
    <t xml:space="preserve">HDMI Extender CAT6 120M 1080p@60Hz Rx </t>
  </si>
  <si>
    <t>TP-Link Tapo P100 (Smart Plug) for control plug socket wirelessly</t>
  </si>
  <si>
    <t>Dewan Solat Utama</t>
  </si>
  <si>
    <t>Hikvision 5" 4MP 32x  PTZ Network Speed Dome</t>
  </si>
  <si>
    <t>Hikvision 4MP Network Camera ( front )</t>
  </si>
  <si>
    <r>
      <rPr>
        <sz val="10"/>
        <color theme="1"/>
        <rFont val="Arial"/>
        <family val="2"/>
      </rPr>
      <t xml:space="preserve">Supply and install CAT6 cabling run for PTZ Camera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</si>
  <si>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Supply and install CAT6 cabling run for Network Camera ( front )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</si>
  <si>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t>Mount Bracket for PTZ Camera</t>
  </si>
  <si>
    <r>
      <rPr>
        <sz val="10"/>
        <color theme="1"/>
        <rFont val="Arial"/>
        <family val="2"/>
      </rPr>
      <t xml:space="preserve">Dissamble and move 2 Display TV </t>
    </r>
    <r>
      <rPr>
        <b/>
        <sz val="10"/>
        <color theme="1"/>
        <rFont val="Arial"/>
        <family val="2"/>
      </rPr>
      <t xml:space="preserve">Dewan Solat Utama </t>
    </r>
    <r>
      <rPr>
        <sz val="10"/>
        <color theme="1"/>
        <rFont val="Arial"/>
        <family val="2"/>
      </rPr>
      <t xml:space="preserve">to </t>
    </r>
    <r>
      <rPr>
        <b/>
        <sz val="10"/>
        <color theme="1"/>
        <rFont val="Arial"/>
        <family val="2"/>
      </rPr>
      <t xml:space="preserve">Ruang Muslimat </t>
    </r>
    <r>
      <rPr>
        <sz val="10"/>
        <color theme="1"/>
        <rFont val="Arial"/>
        <family val="2"/>
      </rPr>
      <t>and</t>
    </r>
    <r>
      <rPr>
        <b/>
        <sz val="10"/>
        <color theme="1"/>
        <rFont val="Arial"/>
        <family val="2"/>
      </rPr>
      <t xml:space="preserve"> Bilik Mesyuarat Atas</t>
    </r>
  </si>
  <si>
    <t>Live Streaming</t>
  </si>
  <si>
    <t xml:space="preserve">Custom Pc with Performance Specification     
- AMD Ryzen 5 
- 16GB RAM 3600Mhz DDR4
- RTX 3050 Graphic Card
- 1TB M.2 NVMe SSD
- 24" LED Monitor </t>
  </si>
  <si>
    <t>OBS software setup for Live Streaming with basic Graphic and Design</t>
  </si>
  <si>
    <t>Terimaan</t>
  </si>
  <si>
    <t>Modal Kasar</t>
  </si>
  <si>
    <t>Untung Kasar</t>
  </si>
  <si>
    <t>LAIN-LAIN</t>
  </si>
  <si>
    <t>Installation, Setup &amp; Configuration</t>
  </si>
  <si>
    <t>Transportation</t>
  </si>
  <si>
    <r>
      <rPr>
        <sz val="10"/>
        <color theme="1"/>
        <rFont val="Arial"/>
        <family val="2"/>
      </rPr>
      <t xml:space="preserve">Clean up and tidy cable TV Display </t>
    </r>
    <r>
      <rPr>
        <b/>
        <sz val="10"/>
        <color theme="1"/>
        <rFont val="Arial"/>
        <family val="2"/>
      </rPr>
      <t>Ruang Solat Muslimah Atas</t>
    </r>
  </si>
  <si>
    <t>Thank you for your business!</t>
  </si>
  <si>
    <t>SUBTOTAL</t>
  </si>
  <si>
    <t>← You can change the currency by editing the cell format</t>
  </si>
  <si>
    <t>OTHER</t>
  </si>
  <si>
    <t>← This could be for shipping, tax, etc. Update the label as needed.</t>
  </si>
  <si>
    <t>TOTAL QUOTE</t>
  </si>
  <si>
    <t>Quotation Validity : 14 days
PAYMENT TERMS : 50% downpayment upon confirmation, balance 50% upon completion of work</t>
  </si>
  <si>
    <t>← Edit this statement as necessary.</t>
  </si>
  <si>
    <t>NAS CERIA SERVICES | Bank Account : 8881039261301 Am Bank | Trade Reg. No : 003035718-X</t>
  </si>
  <si>
    <t>If you accept the offer, please fill in below
and fax or e-mail back to us a copy   
_________________________________
I ACCEPT THE ABOVE OFFER AND TERMS
Name
:
Date
:</t>
  </si>
  <si>
    <t>← Remember to update this information</t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</si>
  <si>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</si>
  <si>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</si>
  <si>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router to switch include RJ45 plug both end cable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</si>
  <si>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RJ45 plug both end cable</t>
    </r>
  </si>
  <si>
    <t>Samsung 65" Crystal UHD DU7000 4K Tizen OS Smart TV</t>
  </si>
  <si>
    <r>
      <rPr>
        <sz val="10"/>
        <color theme="1"/>
        <rFont val="Arial"/>
        <family val="2"/>
      </rPr>
      <t xml:space="preserve">Supply and install CAT6 cabling run for PTZ Camera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</si>
  <si>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Supply and install CAT6 cabling run for Network Camera ( front )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</si>
  <si>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Dissamble and move 2 Display TV </t>
    </r>
    <r>
      <rPr>
        <b/>
        <sz val="10"/>
        <color theme="1"/>
        <rFont val="Arial"/>
        <family val="2"/>
      </rPr>
      <t xml:space="preserve">Dewan Solat Utama </t>
    </r>
    <r>
      <rPr>
        <sz val="10"/>
        <color theme="1"/>
        <rFont val="Arial"/>
        <family val="2"/>
      </rPr>
      <t xml:space="preserve">to </t>
    </r>
    <r>
      <rPr>
        <b/>
        <sz val="10"/>
        <color theme="1"/>
        <rFont val="Arial"/>
        <family val="2"/>
      </rPr>
      <t xml:space="preserve">Ruang Muslimat </t>
    </r>
    <r>
      <rPr>
        <sz val="10"/>
        <color theme="1"/>
        <rFont val="Arial"/>
        <family val="2"/>
      </rPr>
      <t>and</t>
    </r>
    <r>
      <rPr>
        <b/>
        <sz val="10"/>
        <color theme="1"/>
        <rFont val="Arial"/>
        <family val="2"/>
      </rPr>
      <t xml:space="preserve"> Bilik Mesyuarat Atas</t>
    </r>
  </si>
  <si>
    <r>
      <rPr>
        <sz val="10"/>
        <color theme="1"/>
        <rFont val="Arial"/>
        <family val="2"/>
      </rPr>
      <t xml:space="preserve">Clean up and tidy cable TV Display </t>
    </r>
    <r>
      <rPr>
        <b/>
        <sz val="10"/>
        <color theme="1"/>
        <rFont val="Arial"/>
        <family val="2"/>
      </rPr>
      <t>Ruang Solat Muslimah Atas</t>
    </r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</si>
  <si>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</si>
  <si>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</si>
  <si>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t>Kerja-kerja dan alat bagi kerja-kerja memindah, mengemas, melabel dan menyusun kabel TV Display ( Bilik Muazzin ) dan Kabel CCTV ( Bilik CCTV )</t>
  </si>
  <si>
    <t>L/S</t>
  </si>
  <si>
    <t>Menguji, Memastikan dan menentukan Kabel CAT6 yang bersambung ke setiap Display TV</t>
  </si>
  <si>
    <t>Melabel setiap kabel CAT 6 yang bersambung ke setiap Display TV</t>
  </si>
  <si>
    <t>Memindah setiap sambung kabel CAT 6 ke tempat yang sesuai</t>
  </si>
  <si>
    <t>Mengemas kembali setiap kabel CAT 6</t>
  </si>
  <si>
    <t>Memastikan setiap kabel CAT 6 kemas dan tersusun rapi</t>
  </si>
  <si>
    <t>Bilik CCTV</t>
  </si>
  <si>
    <t>Menguji, Memastikan dan menentukan Kabel CCTV yang bersambung pada DVR</t>
  </si>
  <si>
    <t>Melabel setiap kabel yang bersambung pada DVR</t>
  </si>
  <si>
    <t>Mengemas kembali setiap kabel CCTV</t>
  </si>
  <si>
    <t>Membekal Rak Server yang sesuai untuk menempatkan DVR dan kabel CCTV</t>
  </si>
  <si>
    <t>DISCOUNT</t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</si>
  <si>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</si>
  <si>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</si>
  <si>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router to switch include RJ45 plug both end cable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</si>
  <si>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RJ45 plug both end cable</t>
    </r>
  </si>
  <si>
    <r>
      <rPr>
        <sz val="10"/>
        <color theme="1"/>
        <rFont val="Arial"/>
        <family val="2"/>
      </rPr>
      <t xml:space="preserve">Supply and install CAT6 cabling run for PTZ Camera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</si>
  <si>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Supply and install CAT6 cabling run for Network Camera ( front )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</si>
  <si>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Dissamble and move 2 Display TV </t>
    </r>
    <r>
      <rPr>
        <b/>
        <sz val="10"/>
        <color theme="1"/>
        <rFont val="Arial"/>
        <family val="2"/>
      </rPr>
      <t xml:space="preserve">Dewan Solat Utama </t>
    </r>
    <r>
      <rPr>
        <sz val="10"/>
        <color theme="1"/>
        <rFont val="Arial"/>
        <family val="2"/>
      </rPr>
      <t xml:space="preserve">to </t>
    </r>
    <r>
      <rPr>
        <b/>
        <sz val="10"/>
        <color theme="1"/>
        <rFont val="Arial"/>
        <family val="2"/>
      </rPr>
      <t xml:space="preserve">Ruang Muslimat </t>
    </r>
    <r>
      <rPr>
        <sz val="10"/>
        <color theme="1"/>
        <rFont val="Arial"/>
        <family val="2"/>
      </rPr>
      <t>and</t>
    </r>
    <r>
      <rPr>
        <b/>
        <sz val="10"/>
        <color theme="1"/>
        <rFont val="Arial"/>
        <family val="2"/>
      </rPr>
      <t xml:space="preserve"> Bilik Mesyuarat Atas</t>
    </r>
  </si>
  <si>
    <r>
      <rPr>
        <sz val="10"/>
        <color theme="1"/>
        <rFont val="Arial"/>
        <family val="2"/>
      </rPr>
      <t xml:space="preserve">Clean up and tidy cable TV Display </t>
    </r>
    <r>
      <rPr>
        <b/>
        <sz val="10"/>
        <color theme="1"/>
        <rFont val="Arial"/>
        <family val="2"/>
      </rPr>
      <t>Ruang Solat Muslimah Atas</t>
    </r>
  </si>
  <si>
    <r>
      <rPr>
        <b/>
        <sz val="10"/>
        <color theme="1"/>
        <rFont val="Arial"/>
        <family val="2"/>
      </rPr>
      <t>Masjid Saidina Abu Bakar As-Siddiq</t>
    </r>
    <r>
      <rPr>
        <sz val="10"/>
        <color theme="1"/>
        <rFont val="Arial"/>
        <family val="2"/>
      </rPr>
      <t xml:space="preserve">
Jalan Ara, Bangsar, 59100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</si>
  <si>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Ketua Imam</t>
    </r>
  </si>
  <si>
    <t>Kerja-kerja dan alat bagi kerja-kerja PTZ CCTV dan PC Live Streaming</t>
  </si>
  <si>
    <t>HIKVISION PTZ IP Network Camera</t>
  </si>
  <si>
    <t>HIKVISION 4K Network Video Recorder</t>
  </si>
  <si>
    <r>
      <rPr>
        <sz val="10"/>
        <color theme="1"/>
        <rFont val="Arial"/>
        <family val="2"/>
      </rPr>
      <t xml:space="preserve">Supply and install CAT6 cabling run for </t>
    </r>
    <r>
      <rPr>
        <b/>
        <sz val="10"/>
        <color theme="1"/>
        <rFont val="Arial"/>
        <family val="2"/>
      </rPr>
      <t>PTZ Camera</t>
    </r>
    <r>
      <rPr>
        <sz val="10"/>
        <color theme="1"/>
        <rFont val="Arial"/>
        <family val="2"/>
      </rPr>
      <t xml:space="preserve"> in PVC conduit, include RJ45 plug both end cable</t>
    </r>
  </si>
  <si>
    <t>Toshiba V300/S300 4TB Surveillance CCTV Internal Hard Disk 3.5" SATA 6.0Gbit/S 5900 - 7200PRM</t>
  </si>
  <si>
    <r>
      <rPr>
        <sz val="10"/>
        <color theme="1"/>
        <rFont val="Arial"/>
        <family val="2"/>
      </rPr>
      <t xml:space="preserve"> Supply and install 20m Audio Cable
 run for </t>
    </r>
    <r>
      <rPr>
        <b/>
        <sz val="10"/>
        <color theme="1"/>
        <rFont val="Arial"/>
        <family val="2"/>
      </rPr>
      <t>AUDIO Transmission</t>
    </r>
    <r>
      <rPr>
        <sz val="10"/>
        <color theme="1"/>
        <rFont val="Arial"/>
        <family val="2"/>
      </rPr>
      <t xml:space="preserve"> from PA System to PC complete with Splitter Cable XLR Female to Dual XLR male</t>
    </r>
  </si>
  <si>
    <t>Custom Pc with latest Specification     
- Intel i5 13th Gen Processor
- 16GB RAM 3600Mhz DDR4
- RTX 3060TI  Graphic Card
- 1TB M.2 2280 PCIe NVMe SSD
- 27" LED Monitor 75Hz</t>
  </si>
  <si>
    <t>Table and Gaming Chair for PC</t>
  </si>
  <si>
    <t>Behringer U-Phoria UM2 USB Audio Interface (UM-2 / UM2)</t>
  </si>
  <si>
    <t>TP-Link Wifi Access Point for Wifi Remote</t>
  </si>
  <si>
    <r>
      <rPr>
        <b/>
        <sz val="10"/>
        <color theme="1"/>
        <rFont val="Arial"/>
        <family val="2"/>
      </rPr>
      <t>Graphic Design on software</t>
    </r>
    <r>
      <rPr>
        <sz val="10"/>
        <color theme="1"/>
        <rFont val="Arial"/>
        <family val="2"/>
      </rPr>
      <t xml:space="preserve"> for Live Streaming Kuliah and Khutbah Jumaat 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</si>
  <si>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switch to PC include RJ45 plug both end cable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</si>
  <si>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RJ45 plug both end cable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</si>
  <si>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>Internet networking</t>
    </r>
    <r>
      <rPr>
        <sz val="10"/>
        <color theme="1"/>
        <rFont val="Arial"/>
        <family val="2"/>
      </rPr>
      <t xml:space="preserve"> from router to Access Point include RJ45 plug both end cable</t>
    </r>
  </si>
  <si>
    <t>Training for handling LIVE Streaming Facebook</t>
  </si>
  <si>
    <t>Prepared By: Nas</t>
  </si>
  <si>
    <r>
      <rPr>
        <b/>
        <sz val="10"/>
        <color theme="1"/>
        <rFont val="Arial"/>
        <family val="2"/>
      </rPr>
      <t xml:space="preserve">Masjid Muadz bin Jabal, 
</t>
    </r>
    <r>
      <rPr>
        <sz val="10"/>
        <color theme="1"/>
        <rFont val="Arial"/>
        <family val="2"/>
      </rPr>
      <t>Persiaran Setiawangsa, 
Taman Setiawangsa, 
54200 Kuala Lumpur.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</si>
  <si>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Ustaz Ismail</t>
    </r>
  </si>
  <si>
    <t>Kerja-kerja Penggantian Display TV Masjid</t>
  </si>
  <si>
    <t>Samsung 50" Crystal UHD DU7000 4K Tizen OS Smart TV</t>
  </si>
  <si>
    <t>TP-Link Tapo P100 (Smart Plug) for control plug socket</t>
  </si>
  <si>
    <t>Dissamble and Assamble Old and New Display TV</t>
  </si>
  <si>
    <r>
      <rPr>
        <b/>
        <sz val="28"/>
        <color theme="9"/>
        <rFont val="Century Gothic"/>
        <family val="2"/>
      </rPr>
      <t>VIRTUE DAMSEL</t>
    </r>
    <r>
      <rPr>
        <b/>
        <sz val="28"/>
        <color rgb="FF656565"/>
        <rFont val="Century Gothic"/>
        <family val="2"/>
      </rPr>
      <t xml:space="preserve"> </t>
    </r>
    <r>
      <rPr>
        <b/>
        <sz val="28"/>
        <color rgb="FF33CCCC"/>
        <rFont val="Century Gothic"/>
        <family val="2"/>
      </rPr>
      <t>SOLUTION</t>
    </r>
  </si>
  <si>
    <t>(002976929-K)</t>
  </si>
  <si>
    <t xml:space="preserve">No 30, RD 3, Taman Ramal Desa, 43000 Kajang Selangor  </t>
  </si>
  <si>
    <t>TEL : 018-9030363</t>
  </si>
  <si>
    <t>QUOTE #</t>
  </si>
  <si>
    <t>EMAIL : virtuedamsel@gmail.coom</t>
  </si>
  <si>
    <t>CUSTOMER ID</t>
  </si>
  <si>
    <t>VALID UNTIL</t>
  </si>
  <si>
    <t>Masjid Muadz Bin Jabal</t>
  </si>
  <si>
    <t>Persiaran Setiawangsa, 
Taman Setiawangsa, 
54200 Kuala Lumpur.</t>
  </si>
  <si>
    <t>Attn : Ketua Imam</t>
  </si>
  <si>
    <t>Kerja-kerja penukaraan Display TV</t>
  </si>
  <si>
    <t>l/s</t>
  </si>
  <si>
    <t>PAYMENT TERMS  : FULL PAYMENT UPON DELIVERY.</t>
  </si>
  <si>
    <t>* All goods remain the property of Virtue Damsel Solution until full payment is made.</t>
  </si>
  <si>
    <t>* Goods sold are not returnable.</t>
  </si>
  <si>
    <r>
      <rPr>
        <sz val="11"/>
        <color rgb="FF000000"/>
        <rFont val="Arial"/>
        <family val="2"/>
      </rPr>
      <t xml:space="preserve">* Payment of check is payable to :  </t>
    </r>
    <r>
      <rPr>
        <b/>
        <sz val="11"/>
        <color rgb="FF000000"/>
        <rFont val="Arial"/>
        <family val="2"/>
      </rPr>
      <t xml:space="preserve"> CASH / VIRTUE DAMSEL SOLUTION</t>
    </r>
  </si>
  <si>
    <r>
      <rPr>
        <sz val="11"/>
        <color rgb="FF000000"/>
        <rFont val="Arial"/>
        <family val="2"/>
      </rPr>
      <t xml:space="preserve">* Our Bank Account Details          :  </t>
    </r>
    <r>
      <rPr>
        <b/>
        <sz val="12"/>
        <color rgb="FF000000"/>
        <rFont val="Arial"/>
        <family val="2"/>
      </rPr>
      <t xml:space="preserve"> MAYBANK 562021644859</t>
    </r>
  </si>
  <si>
    <r>
      <rPr>
        <b/>
        <sz val="10"/>
        <color theme="1"/>
        <rFont val="Arial"/>
        <family val="2"/>
      </rPr>
      <t xml:space="preserve">Masjid Muadz bin Jabal, 
</t>
    </r>
    <r>
      <rPr>
        <sz val="10"/>
        <color theme="1"/>
        <rFont val="Arial"/>
        <family val="2"/>
      </rPr>
      <t>Persiaran Setiawangsa, 
Taman Setiawangsa, 
54200 Kuala Lumpur.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</si>
  <si>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Ustaz Ismail</t>
    </r>
  </si>
  <si>
    <t>INVOICE</t>
  </si>
  <si>
    <t>INVOICE #</t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</si>
  <si>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</si>
  <si>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</si>
  <si>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router to switch include RJ45 plug both end cable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</si>
  <si>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RJ45 plug both end cable</t>
    </r>
  </si>
  <si>
    <t>Hikvision 4MP PTZ Network Speed Dome</t>
  </si>
  <si>
    <r>
      <rPr>
        <sz val="10"/>
        <color theme="1"/>
        <rFont val="Arial"/>
        <family val="2"/>
      </rPr>
      <t xml:space="preserve">Supply and install CAT6 cabling run for PTZ Camera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</si>
  <si>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Supply and install CAT6 cabling run for Network Camera ( front )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</si>
  <si>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Dissamble and move 2 Display TV </t>
    </r>
    <r>
      <rPr>
        <b/>
        <sz val="10"/>
        <color theme="1"/>
        <rFont val="Arial"/>
        <family val="2"/>
      </rPr>
      <t xml:space="preserve">Dewan Solat Utama </t>
    </r>
    <r>
      <rPr>
        <sz val="10"/>
        <color theme="1"/>
        <rFont val="Arial"/>
        <family val="2"/>
      </rPr>
      <t xml:space="preserve">to </t>
    </r>
    <r>
      <rPr>
        <b/>
        <sz val="10"/>
        <color theme="1"/>
        <rFont val="Arial"/>
        <family val="2"/>
      </rPr>
      <t xml:space="preserve">Ruang Muslimat </t>
    </r>
    <r>
      <rPr>
        <sz val="10"/>
        <color theme="1"/>
        <rFont val="Arial"/>
        <family val="2"/>
      </rPr>
      <t>and</t>
    </r>
    <r>
      <rPr>
        <b/>
        <sz val="10"/>
        <color theme="1"/>
        <rFont val="Arial"/>
        <family val="2"/>
      </rPr>
      <t xml:space="preserve"> Bilik Mesyuarat Atas</t>
    </r>
  </si>
  <si>
    <t xml:space="preserve">Custom Pc with Performance Specification     
- AMD Ryzen 5 
- 16GB RAM 3600Mhz DDR4
- RTX Graphic Card
- 1TB M.2 NVMe SSD
- 24" LED Monitor </t>
  </si>
  <si>
    <r>
      <rPr>
        <sz val="10"/>
        <color theme="1"/>
        <rFont val="Arial"/>
        <family val="2"/>
      </rPr>
      <t xml:space="preserve">Clean up and tidy cable TV Display </t>
    </r>
    <r>
      <rPr>
        <b/>
        <sz val="10"/>
        <color theme="1"/>
        <rFont val="Arial"/>
        <family val="2"/>
      </rPr>
      <t>Ruang Solat Muslimah Atas</t>
    </r>
  </si>
  <si>
    <t>DEPOSIT 40%</t>
  </si>
  <si>
    <t xml:space="preserve">BALANCE </t>
  </si>
  <si>
    <t>PAYMENT TERMS : 40% downpayment upon confirmation, 50% upon completion of work. Balance 10% after 1 month completion of work</t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</si>
  <si>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</si>
  <si>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</si>
  <si>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router to switch include RJ45 plug both end cable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</si>
  <si>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RJ45 plug both end cable</t>
    </r>
  </si>
  <si>
    <r>
      <rPr>
        <sz val="10"/>
        <color theme="1"/>
        <rFont val="Arial"/>
        <family val="2"/>
      </rPr>
      <t xml:space="preserve">Supply and install CAT6 cabling run for PTZ Camera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</si>
  <si>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Supply and install CAT6 cabling run for Network Camera ( front )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</si>
  <si>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Dissamble and move 2 Display TV </t>
    </r>
    <r>
      <rPr>
        <b/>
        <sz val="10"/>
        <color theme="1"/>
        <rFont val="Arial"/>
        <family val="2"/>
      </rPr>
      <t xml:space="preserve">Dewan Solat Utama </t>
    </r>
    <r>
      <rPr>
        <sz val="10"/>
        <color theme="1"/>
        <rFont val="Arial"/>
        <family val="2"/>
      </rPr>
      <t xml:space="preserve">to </t>
    </r>
    <r>
      <rPr>
        <b/>
        <sz val="10"/>
        <color theme="1"/>
        <rFont val="Arial"/>
        <family val="2"/>
      </rPr>
      <t xml:space="preserve">Ruang Muslimat </t>
    </r>
    <r>
      <rPr>
        <sz val="10"/>
        <color theme="1"/>
        <rFont val="Arial"/>
        <family val="2"/>
      </rPr>
      <t>and</t>
    </r>
    <r>
      <rPr>
        <b/>
        <sz val="10"/>
        <color theme="1"/>
        <rFont val="Arial"/>
        <family val="2"/>
      </rPr>
      <t xml:space="preserve"> Bilik Mesyuarat Atas</t>
    </r>
  </si>
  <si>
    <r>
      <rPr>
        <sz val="10"/>
        <color theme="1"/>
        <rFont val="Arial"/>
        <family val="2"/>
      </rPr>
      <t xml:space="preserve">Clean up and tidy cable TV Display </t>
    </r>
    <r>
      <rPr>
        <b/>
        <sz val="10"/>
        <color theme="1"/>
        <rFont val="Arial"/>
        <family val="2"/>
      </rPr>
      <t>Ruang Solat Muslimah Atas</t>
    </r>
  </si>
  <si>
    <t>( PAID 19.2.2025 )</t>
  </si>
  <si>
    <t>JOB COMPLETE 50%</t>
  </si>
  <si>
    <t>BALANCE 10%</t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</si>
  <si>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</si>
  <si>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</si>
  <si>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router to switch include RJ45 plug both end cable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</si>
  <si>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RJ45 plug both end cable</t>
    </r>
  </si>
  <si>
    <r>
      <rPr>
        <sz val="10"/>
        <color theme="1"/>
        <rFont val="Arial"/>
        <family val="2"/>
      </rPr>
      <t xml:space="preserve">Supply and install CAT6 cabling run for PTZ Camera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</si>
  <si>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Supply and install CAT6 cabling run for Network Camera ( front ) to </t>
    </r>
    <r>
      <rPr>
        <b/>
        <sz val="10"/>
        <color theme="1"/>
        <rFont val="Arial"/>
        <family val="2"/>
      </rPr>
      <t>Bilik Muazzin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</si>
  <si>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Dissamble and move 2 Display TV </t>
    </r>
    <r>
      <rPr>
        <b/>
        <sz val="10"/>
        <color theme="1"/>
        <rFont val="Arial"/>
        <family val="2"/>
      </rPr>
      <t xml:space="preserve">Dewan Solat Utama </t>
    </r>
    <r>
      <rPr>
        <sz val="10"/>
        <color theme="1"/>
        <rFont val="Arial"/>
        <family val="2"/>
      </rPr>
      <t xml:space="preserve">to </t>
    </r>
    <r>
      <rPr>
        <b/>
        <sz val="10"/>
        <color theme="1"/>
        <rFont val="Arial"/>
        <family val="2"/>
      </rPr>
      <t xml:space="preserve">Ruang Muslimat </t>
    </r>
    <r>
      <rPr>
        <sz val="10"/>
        <color theme="1"/>
        <rFont val="Arial"/>
        <family val="2"/>
      </rPr>
      <t>and</t>
    </r>
    <r>
      <rPr>
        <b/>
        <sz val="10"/>
        <color theme="1"/>
        <rFont val="Arial"/>
        <family val="2"/>
      </rPr>
      <t xml:space="preserve"> Bilik Mesyuarat Atas</t>
    </r>
  </si>
  <si>
    <r>
      <rPr>
        <sz val="10"/>
        <color theme="1"/>
        <rFont val="Arial"/>
        <family val="2"/>
      </rPr>
      <t xml:space="preserve">Clean up and tidy cable TV Display </t>
    </r>
    <r>
      <rPr>
        <b/>
        <sz val="10"/>
        <color theme="1"/>
        <rFont val="Arial"/>
        <family val="2"/>
      </rPr>
      <t>Ruang Solat Muslimah Atas</t>
    </r>
  </si>
  <si>
    <t>INVOICE#</t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</si>
  <si>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</si>
  <si>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</si>
  <si>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t>KERJA-KERJA PEMBEKALAN, PENDAWAIAN DAN PEMASANGAN HDMI EXTENDER BAGI TUJUAN SIARAN MULTIMEDIA DI DEWAN MASJID</t>
  </si>
  <si>
    <t>Bilik Muazzin &amp; Dewan Atas</t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</si>
  <si>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 xml:space="preserve">from router to Dewan Atas include RJ45 plug both end cable </t>
    </r>
    <r>
      <rPr>
        <b/>
        <sz val="10"/>
        <color theme="1"/>
        <rFont val="Arial"/>
        <family val="2"/>
      </rPr>
      <t>( Long Range )</t>
    </r>
  </si>
  <si>
    <t xml:space="preserve">HDMI Cable 2.0 High Speed 18Gbps 4K </t>
  </si>
  <si>
    <t>CAT 6 Faceplate Degree Angle Type</t>
  </si>
  <si>
    <t>TP-Link 16-port Gigabit Network Switch</t>
  </si>
  <si>
    <t xml:space="preserve">        </t>
  </si>
  <si>
    <t>Installation, Testing and Commissioning</t>
  </si>
  <si>
    <t xml:space="preserve">TOTAL </t>
  </si>
  <si>
    <r>
      <rPr>
        <b/>
        <sz val="10"/>
        <color theme="1"/>
        <rFont val="Arial"/>
        <family val="2"/>
      </rPr>
      <t>Masjid At-Taqwa</t>
    </r>
    <r>
      <rPr>
        <sz val="10"/>
        <color theme="1"/>
        <rFont val="Arial"/>
        <family val="2"/>
      </rPr>
      <t xml:space="preserve">
Taman Tun Dr. Ismail, 60000, Kuala Lumpur, Wilayah Persekutuan Kuala Lumpur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</si>
  <si>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YBhg. Tuan Pengerusi &amp; Naqib</t>
    </r>
  </si>
  <si>
    <t>KERJA-KERJA PEMBEKALAN, PENDAWAIAN DAN PEMASANGAN HDMI EXTENDER DAN DISPLAY TV BAGI TUJUAN SIARAN MULTIMEDIA DI DEWAN MASJID</t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</si>
  <si>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 xml:space="preserve">from router to Dewan Atas include RJ45 plug both end cable </t>
    </r>
    <r>
      <rPr>
        <b/>
        <sz val="10"/>
        <color theme="1"/>
        <rFont val="Arial"/>
        <family val="2"/>
      </rPr>
      <t>( Long Range )</t>
    </r>
  </si>
  <si>
    <t>Dissamble and Assamble Display TV Bawah to Dewan Atas</t>
  </si>
  <si>
    <t>Sharp TV 50 inch</t>
  </si>
  <si>
    <t>Urgent Job</t>
  </si>
  <si>
    <t>Senarai Barang kena beli</t>
  </si>
  <si>
    <t>No.</t>
  </si>
  <si>
    <t>Barang</t>
  </si>
  <si>
    <t>Kuantiti</t>
  </si>
  <si>
    <t>Harga</t>
  </si>
  <si>
    <t>Resit</t>
  </si>
  <si>
    <r>
      <rPr>
        <sz val="14"/>
        <color theme="1"/>
        <rFont val="Arial"/>
        <family val="2"/>
      </rPr>
      <t xml:space="preserve">Supply and install CAT6 cabling run for
</t>
    </r>
    <r>
      <rPr>
        <b/>
        <sz val="14"/>
        <color theme="1"/>
        <rFont val="Arial"/>
        <family val="2"/>
      </rPr>
      <t xml:space="preserve">Internet networking </t>
    </r>
    <r>
      <rPr>
        <sz val="14"/>
        <color theme="1"/>
        <rFont val="Arial"/>
        <family val="2"/>
      </rPr>
      <t>from router to switch include RJ45 plug both end cable</t>
    </r>
  </si>
  <si>
    <r>
      <rPr>
        <sz val="14"/>
        <color theme="1"/>
        <rFont val="Arial"/>
        <family val="2"/>
      </rPr>
      <t xml:space="preserve">Supply and install CAT6 cabling run for
</t>
    </r>
    <r>
      <rPr>
        <b/>
        <sz val="14"/>
        <color theme="1"/>
        <rFont val="Arial"/>
        <family val="2"/>
      </rPr>
      <t xml:space="preserve">Connect Media Device </t>
    </r>
    <r>
      <rPr>
        <sz val="14"/>
        <color theme="1"/>
        <rFont val="Arial"/>
        <family val="2"/>
      </rPr>
      <t>to Gigabit Switch, include RJ45 plug both end cable</t>
    </r>
  </si>
  <si>
    <r>
      <rPr>
        <sz val="14"/>
        <color theme="1"/>
        <rFont val="Arial"/>
        <family val="2"/>
      </rPr>
      <t xml:space="preserve">Supply and install CAT6 cabling run for PTZ Camera to </t>
    </r>
    <r>
      <rPr>
        <b/>
        <sz val="14"/>
        <color theme="1"/>
        <rFont val="Arial"/>
        <family val="2"/>
      </rPr>
      <t>Bilik Muazzin</t>
    </r>
    <r>
      <rPr>
        <sz val="14"/>
        <color theme="1"/>
        <rFont val="Arial"/>
        <family val="2"/>
      </rPr>
      <t xml:space="preserve"> in PVC conduit, include RJ45 plug both end cable</t>
    </r>
  </si>
  <si>
    <r>
      <rPr>
        <sz val="14"/>
        <color theme="1"/>
        <rFont val="Arial"/>
        <family val="2"/>
      </rPr>
      <t xml:space="preserve">Supply and install CAT6 cabling run for Network Camera ( front ) to </t>
    </r>
    <r>
      <rPr>
        <b/>
        <sz val="14"/>
        <color theme="1"/>
        <rFont val="Arial"/>
        <family val="2"/>
      </rPr>
      <t>Bilik Muazzin</t>
    </r>
    <r>
      <rPr>
        <sz val="14"/>
        <color theme="1"/>
        <rFont val="Arial"/>
        <family val="2"/>
      </rPr>
      <t xml:space="preserve"> in PVC conduit, include RJ45 plug both end cable</t>
    </r>
  </si>
  <si>
    <r>
      <rPr>
        <sz val="14"/>
        <color theme="1"/>
        <rFont val="Arial"/>
        <family val="2"/>
      </rPr>
      <t xml:space="preserve">Dissamble and move 2 Display TV </t>
    </r>
    <r>
      <rPr>
        <b/>
        <sz val="14"/>
        <color theme="1"/>
        <rFont val="Arial"/>
        <family val="2"/>
      </rPr>
      <t xml:space="preserve">Dewan Solat Utama </t>
    </r>
    <r>
      <rPr>
        <sz val="14"/>
        <color theme="1"/>
        <rFont val="Arial"/>
        <family val="2"/>
      </rPr>
      <t xml:space="preserve">to </t>
    </r>
    <r>
      <rPr>
        <b/>
        <sz val="14"/>
        <color theme="1"/>
        <rFont val="Arial"/>
        <family val="2"/>
      </rPr>
      <t xml:space="preserve">Ruang Muslimat </t>
    </r>
    <r>
      <rPr>
        <sz val="14"/>
        <color theme="1"/>
        <rFont val="Arial"/>
        <family val="2"/>
      </rPr>
      <t>and</t>
    </r>
    <r>
      <rPr>
        <b/>
        <sz val="14"/>
        <color theme="1"/>
        <rFont val="Arial"/>
        <family val="2"/>
      </rPr>
      <t xml:space="preserve"> Bilik Mesyuarat Atas</t>
    </r>
  </si>
  <si>
    <r>
      <rPr>
        <sz val="14"/>
        <color theme="1"/>
        <rFont val="Arial"/>
        <family val="2"/>
      </rPr>
      <t xml:space="preserve">Clean up and tidy cable TV Display </t>
    </r>
    <r>
      <rPr>
        <b/>
        <sz val="14"/>
        <color theme="1"/>
        <rFont val="Arial"/>
        <family val="2"/>
      </rPr>
      <t>Ruang Solat Muslimah Atas</t>
    </r>
  </si>
  <si>
    <t>PC</t>
  </si>
  <si>
    <t>item</t>
  </si>
  <si>
    <t>price</t>
  </si>
  <si>
    <t>gc 3050</t>
  </si>
  <si>
    <t xml:space="preserve">amd ryzen 5 </t>
  </si>
  <si>
    <t>b760m asrock</t>
  </si>
  <si>
    <t>16gb ddr4</t>
  </si>
  <si>
    <t>wd sn850x</t>
  </si>
  <si>
    <t>thermalright PA 120</t>
  </si>
  <si>
    <t>corsair rm650</t>
  </si>
  <si>
    <t>Armaggeddon Triton Pro 300 ATX PC Case - Black/White</t>
  </si>
  <si>
    <t>cooling fan</t>
  </si>
  <si>
    <t>corsair argb fan triple</t>
  </si>
  <si>
    <t>viewsonic va2432-h</t>
  </si>
  <si>
    <t>dxracer chair</t>
  </si>
  <si>
    <t>table pc</t>
  </si>
  <si>
    <r>
      <rPr>
        <b/>
        <sz val="10"/>
        <color theme="1"/>
        <rFont val="Arial"/>
        <family val="2"/>
      </rPr>
      <t>Masjid Azzubair Ibn Awwam</t>
    </r>
    <r>
      <rPr>
        <sz val="10"/>
        <color theme="1"/>
        <rFont val="Arial"/>
        <family val="2"/>
      </rPr>
      <t xml:space="preserve">
Jalan Sekilau, Taman Ikhsan, 
56000 Kuala Lumpur,
Malaysia.</t>
    </r>
  </si>
  <si>
    <r>
      <rPr>
        <sz val="10"/>
        <color theme="1"/>
        <rFont val="Arial"/>
        <family val="2"/>
      </rPr>
      <t xml:space="preserve">Attn : </t>
    </r>
    <r>
      <rPr>
        <b/>
        <sz val="10"/>
        <color theme="1"/>
        <rFont val="Arial"/>
        <family val="2"/>
      </rPr>
      <t>Ustaz Muhammad Mun'aim Bin Jaafar</t>
    </r>
  </si>
  <si>
    <t xml:space="preserve">Kerja-kerja dan alat bagi 2 TV Display Luar                            </t>
  </si>
  <si>
    <t>KAMEHA KA041 PRO HDMI EXTENDER RX</t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</si>
  <si>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>VIDEO transmission</t>
    </r>
    <r>
      <rPr>
        <sz val="10"/>
        <color theme="1"/>
        <rFont val="Arial"/>
        <family val="2"/>
      </rPr>
      <t xml:space="preserve"> in PVC conduit, include RJ45 plug both end cable</t>
    </r>
  </si>
  <si>
    <t>To supply and install 13A plug point for LED TV and HDMI extender</t>
  </si>
  <si>
    <t>Kameha Hdmi to Hdmi Cable V2.0</t>
  </si>
  <si>
    <t>Safety Cable for hanging Display TV</t>
  </si>
  <si>
    <t>LCD TV Large Tilt Bracket for hanging Display TV</t>
  </si>
  <si>
    <t>Assemble Display TV on mounting rack</t>
  </si>
  <si>
    <t>Kerja-kerja dan alat bagi kerja-kerja Networking dan Cabling ( Dalam Bilik Imam )</t>
  </si>
  <si>
    <t>TP-LINK TL-SG1016DE 16 Port Gigabit Switch</t>
  </si>
  <si>
    <t>CentRacks 9U Wall Mount Server Rack</t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</si>
  <si>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router to switch include RJ45 plug both end cable</t>
    </r>
  </si>
  <si>
    <t xml:space="preserve">KAMEHA KA065 4 PORT HDMI SPLITTER </t>
  </si>
  <si>
    <t>KAMEHA KA041 PRO HDMI EXTENDER TX</t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</si>
  <si>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RJ45 plug both end cable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</si>
  <si>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>Internet networking</t>
    </r>
    <r>
      <rPr>
        <sz val="10"/>
        <color theme="1"/>
        <rFont val="Arial"/>
        <family val="2"/>
      </rPr>
      <t xml:space="preserve"> from router to Access Point include RJ45 plug both end cable</t>
    </r>
  </si>
  <si>
    <t>LIVE Streaming System</t>
  </si>
  <si>
    <t>HIKVISION PTZ Camera</t>
  </si>
  <si>
    <t>HIKVISION 4-CH Network Video Recorder</t>
  </si>
  <si>
    <r>
      <rPr>
        <sz val="10"/>
        <color theme="1"/>
        <rFont val="Arial"/>
        <family val="2"/>
      </rPr>
      <t xml:space="preserve">Supply and install CAT6  cabling run for </t>
    </r>
    <r>
      <rPr>
        <b/>
        <sz val="10"/>
        <color theme="1"/>
        <rFont val="Arial"/>
        <family val="2"/>
      </rPr>
      <t>PTZ Camera</t>
    </r>
    <r>
      <rPr>
        <sz val="10"/>
        <color theme="1"/>
        <rFont val="Arial"/>
        <family val="2"/>
      </rPr>
      <t xml:space="preserve"> in PVC conduit, include RJ45 plug both end cable</t>
    </r>
  </si>
  <si>
    <r>
      <rPr>
        <sz val="10"/>
        <color theme="1"/>
        <rFont val="Arial"/>
        <family val="2"/>
      </rPr>
      <t xml:space="preserve"> Supply and install 10m Audio Cable
 run for </t>
    </r>
    <r>
      <rPr>
        <b/>
        <sz val="10"/>
        <color theme="1"/>
        <rFont val="Arial"/>
        <family val="2"/>
      </rPr>
      <t>AUDIO Transmission</t>
    </r>
    <r>
      <rPr>
        <sz val="10"/>
        <color theme="1"/>
        <rFont val="Arial"/>
        <family val="2"/>
      </rPr>
      <t xml:space="preserve"> from PA System to PC complete with Splitter Cable XLR Female to Dual XLR male</t>
    </r>
  </si>
  <si>
    <t>Custom Pc with latest Specification     
- Intel 13th Gen Processor
- 16GB RAM 3600Mhz DDR4
- RTX 3060TI  Graphic Card
- 512GB SSD Pci-e M.2
- 24" LED Monitor 75Hz</t>
  </si>
  <si>
    <r>
      <rPr>
        <b/>
        <sz val="10"/>
        <color theme="1"/>
        <rFont val="Arial"/>
        <family val="2"/>
      </rPr>
      <t>Graphic Design on software</t>
    </r>
    <r>
      <rPr>
        <sz val="10"/>
        <color theme="1"/>
        <rFont val="Arial"/>
        <family val="2"/>
      </rPr>
      <t xml:space="preserve"> for Live Streaming Kuliah and Khutbah Jumaat </t>
    </r>
  </si>
  <si>
    <t>Masjid Saidina Othman Ibn Affan</t>
  </si>
  <si>
    <t>Jalan Budiman</t>
  </si>
  <si>
    <t>Bandar Tun Razak</t>
  </si>
  <si>
    <t>Kuala Lumpur</t>
  </si>
  <si>
    <t>Wilayah Persekutuan 56000</t>
  </si>
  <si>
    <t>Attn : Ustaz Wan Abdul Halim</t>
  </si>
  <si>
    <t>DAHUA 4MP SD5A445XA-HNR 45X STARLIGHT IR WIZSENSE NETWORK PTZ CAMERA (AI) (STARLIGHT)</t>
  </si>
  <si>
    <t>DAHUA NVR4204-P-4KS2/L Network 4CH 8MP 4K PoE NVR</t>
  </si>
  <si>
    <t>Dahua IPC-HFW5831EP-ZE 8MP WDR IR Bullet Network Camera</t>
  </si>
  <si>
    <t>Camera Junction Box for Bullet Camera</t>
  </si>
  <si>
    <r>
      <rPr>
        <sz val="10"/>
        <color theme="1"/>
        <rFont val="Arial"/>
        <family val="2"/>
      </rPr>
      <t xml:space="preserve">Supply and install CAT6 cabling for </t>
    </r>
    <r>
      <rPr>
        <b/>
        <sz val="10"/>
        <color theme="1"/>
        <rFont val="Arial"/>
        <family val="2"/>
      </rPr>
      <t>IP Camera</t>
    </r>
    <r>
      <rPr>
        <sz val="10"/>
        <color theme="1"/>
        <rFont val="Arial"/>
        <family val="2"/>
      </rPr>
      <t xml:space="preserve"> from Imam's Room in PVC conduit, include shielded RJ45 plug both end cable</t>
    </r>
  </si>
  <si>
    <r>
      <rPr>
        <sz val="10"/>
        <color theme="1"/>
        <rFont val="Arial"/>
        <family val="2"/>
      </rPr>
      <t xml:space="preserve">Supply and install F/UTP CAT6  cabling run for </t>
    </r>
    <r>
      <rPr>
        <b/>
        <sz val="10"/>
        <color theme="1"/>
        <rFont val="Arial"/>
        <family val="2"/>
      </rPr>
      <t>PTZ Camera</t>
    </r>
    <r>
      <rPr>
        <sz val="10"/>
        <color theme="1"/>
        <rFont val="Arial"/>
        <family val="2"/>
      </rPr>
      <t xml:space="preserve"> in PVC conduit, include shielded RJ45 plug both end cable</t>
    </r>
  </si>
  <si>
    <t>J5Create JVA02 Live Capture Adapter HDMI™ To USB-C™ With Power Delivery</t>
  </si>
  <si>
    <t xml:space="preserve"> </t>
  </si>
  <si>
    <t>Onten US302/US323 USB3.0 Audio And HDTV Video Capture Card</t>
  </si>
  <si>
    <t>Toshiba V300/S300 2TB Surveillance CCTV Internal Hard Disk 3.5" SATA 6.0Gbit/S 5900 - 7200PRM</t>
  </si>
  <si>
    <r>
      <rPr>
        <sz val="10"/>
        <color theme="1"/>
        <rFont val="Arial"/>
        <family val="2"/>
      </rPr>
      <t xml:space="preserve"> Supply and install 10m Audio Cable
 run for </t>
    </r>
    <r>
      <rPr>
        <b/>
        <sz val="10"/>
        <color theme="1"/>
        <rFont val="Arial"/>
        <family val="2"/>
      </rPr>
      <t>AUDIO Transmission</t>
    </r>
    <r>
      <rPr>
        <sz val="10"/>
        <color theme="1"/>
        <rFont val="Arial"/>
        <family val="2"/>
      </rPr>
      <t xml:space="preserve"> from PA System to PC ( XLR to 3.5mm Audio Jack ) complete with Splitter Cable XLR Female to Dual XLR male</t>
    </r>
  </si>
  <si>
    <t>Custom Pc with latest Spec ( Intel 12th Gen Processor )     
- Intel i5-12400f 6 Core 12 Threads
- 16GB RAM 3600Mhz DDR4
- PALIT RTX 3060 DUAL 12GB GDDR6 Graphic Card
- 512GB SSD Pci-e M.2
- Samsung 24" LED Monitor 75Hz</t>
  </si>
  <si>
    <r>
      <rPr>
        <b/>
        <sz val="10"/>
        <color theme="1"/>
        <rFont val="Arial"/>
        <family val="2"/>
      </rPr>
      <t>Graphic Design on software</t>
    </r>
    <r>
      <rPr>
        <sz val="10"/>
        <color theme="1"/>
        <rFont val="Arial"/>
        <family val="2"/>
      </rPr>
      <t xml:space="preserve"> for Live Streaming Kuliah and Khutbah Jumaat </t>
    </r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</si>
  <si>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Internet networking </t>
    </r>
    <r>
      <rPr>
        <sz val="10"/>
        <color theme="1"/>
        <rFont val="Arial"/>
        <family val="2"/>
      </rPr>
      <t>from router to switch include shielded RJ45 plug both end cable</t>
    </r>
  </si>
  <si>
    <t>ATEN VS-481B 4 PORT 4K HDMI SWITCH</t>
  </si>
  <si>
    <t xml:space="preserve">ATEN VS-184A 4 PORT 4K HDMI SPLITTER </t>
  </si>
  <si>
    <r>
      <rPr>
        <sz val="10"/>
        <color theme="1"/>
        <rFont val="Arial"/>
        <family val="2"/>
      </rPr>
      <t xml:space="preserve">Supply and install HDMI socket and cabling run for
</t>
    </r>
    <r>
      <rPr>
        <b/>
        <sz val="10"/>
        <color theme="1"/>
        <rFont val="Arial"/>
        <family val="2"/>
      </rPr>
      <t>Slide Kuliah</t>
    </r>
    <r>
      <rPr>
        <sz val="10"/>
        <color theme="1"/>
        <rFont val="Arial"/>
        <family val="2"/>
      </rPr>
      <t xml:space="preserve"> from Minbar to inside Imam's Room</t>
    </r>
  </si>
  <si>
    <t>Bundle Cable Organizer Management Tube Sleeve</t>
  </si>
  <si>
    <t>Thank you for your support. We look forward to a mutually beneficial business relationship.</t>
  </si>
  <si>
    <t>Kerja-kerja dan alat bagi 2 TV Display Luar                            ( Pintu Masuk Utama )</t>
  </si>
  <si>
    <r>
      <rPr>
        <sz val="10"/>
        <color theme="1"/>
        <rFont val="Arial"/>
        <family val="2"/>
      </rPr>
      <t xml:space="preserve">Supply and install F/UTP CAT6 cabling run for
</t>
    </r>
    <r>
      <rPr>
        <b/>
        <sz val="10"/>
        <color theme="1"/>
        <rFont val="Arial"/>
        <family val="2"/>
      </rPr>
      <t>VIDEO transmission</t>
    </r>
    <r>
      <rPr>
        <sz val="10"/>
        <color theme="1"/>
        <rFont val="Arial"/>
        <family val="2"/>
      </rPr>
      <t xml:space="preserve"> in PVC conduit, include shielded RJ45 plug both end cable</t>
    </r>
  </si>
  <si>
    <t>Kerja-kerja dan alat bagi 2 Display TV Luar Ruang Solat Utama ( Kiri &amp; Kanan )</t>
  </si>
  <si>
    <r>
      <rPr>
        <sz val="10"/>
        <color theme="1"/>
        <rFont val="Arial"/>
        <family val="2"/>
      </rPr>
      <t xml:space="preserve">Supply and install F/UTP CAT6 cabling run for
</t>
    </r>
    <r>
      <rPr>
        <b/>
        <sz val="10"/>
        <color theme="1"/>
        <rFont val="Arial"/>
        <family val="2"/>
      </rPr>
      <t>VIDEO transmission</t>
    </r>
    <r>
      <rPr>
        <sz val="10"/>
        <color theme="1"/>
        <rFont val="Arial"/>
        <family val="2"/>
      </rPr>
      <t xml:space="preserve"> in PVC conduit, include shielded RJ45 plug both end cable</t>
    </r>
  </si>
  <si>
    <t>TP-LINK TL-SG1016D 16 Port Gigabit Switch</t>
  </si>
  <si>
    <t>CentRacks 6U Wall Mount Server Rack with 2 tray</t>
  </si>
  <si>
    <t xml:space="preserve">HDMI Extender CAT6 120M 1080p@60Hz Tx </t>
  </si>
  <si>
    <t>4K HDMI Splitter 1 Input to 2 Output</t>
  </si>
  <si>
    <t>Vention HDMI Cable 2.0 High Speed 18Gbps 4K Bundle</t>
  </si>
  <si>
    <r>
      <rPr>
        <sz val="10"/>
        <color theme="1"/>
        <rFont val="Arial"/>
        <family val="2"/>
      </rPr>
      <t xml:space="preserve">Supply and install CAT6 cabling run for
</t>
    </r>
    <r>
      <rPr>
        <b/>
        <sz val="10"/>
        <color theme="1"/>
        <rFont val="Arial"/>
        <family val="2"/>
      </rPr>
      <t xml:space="preserve">Connect Media Device </t>
    </r>
    <r>
      <rPr>
        <sz val="10"/>
        <color theme="1"/>
        <rFont val="Arial"/>
        <family val="2"/>
      </rPr>
      <t>to Gigabit Switch, include shielded RJ45 plug both end cable</t>
    </r>
  </si>
  <si>
    <t xml:space="preserve">DF90-T LCD TV Large Tilt Bracket for 65" - 90" </t>
  </si>
  <si>
    <t>DISPLAY TV</t>
  </si>
  <si>
    <t xml:space="preserve">SAMSUNG Q60B QLED 4K Smart TV </t>
  </si>
  <si>
    <t>QA65Q60BAKXXM 65" QLED 4K TV</t>
  </si>
  <si>
    <t>Kerja-kerja dan alat bagi 3 TV Display Ruang Solat Bawah ( Dalam dan Luar Pintu Dewan )</t>
  </si>
  <si>
    <r>
      <rPr>
        <sz val="10"/>
        <color theme="1"/>
        <rFont val="Arial"/>
        <family val="2"/>
      </rPr>
      <t xml:space="preserve">Supply and install F/UTP CAT6 cabling run for
</t>
    </r>
    <r>
      <rPr>
        <b/>
        <sz val="10"/>
        <color theme="1"/>
        <rFont val="Arial"/>
        <family val="2"/>
      </rPr>
      <t>VIDEO transmission</t>
    </r>
    <r>
      <rPr>
        <sz val="10"/>
        <color theme="1"/>
        <rFont val="Arial"/>
        <family val="2"/>
      </rPr>
      <t xml:space="preserve"> in PVC conduit, include shielded RJ45 plug both end cable</t>
    </r>
  </si>
  <si>
    <t>T3260 32" - 80" Large TV Mount Bracket Holder</t>
  </si>
  <si>
    <t xml:space="preserve">NBSP2 – Heavy Durty Cantilever Mount (40"-70") </t>
  </si>
  <si>
    <t>QA55Q60BAKXXM 55" QLED 4K TV</t>
  </si>
  <si>
    <t>Senarai Barang yang dibeli</t>
  </si>
  <si>
    <t>SAMSUNG 65" INCH UHD 4K SMART TV UA65AU7000</t>
  </si>
  <si>
    <t>Resit\tv samsung 11562.jpg</t>
  </si>
  <si>
    <t>DAHUA SD8A840-HNF-PA 8MP 40x Starlight IR PTZ AI Network Camera</t>
  </si>
  <si>
    <t>Resit\invoice PTZ Dahua.pdf</t>
  </si>
  <si>
    <t>CAT 6 FTP BELDEN 305M</t>
  </si>
  <si>
    <t>Resit\cable cat6 1340.jpg</t>
  </si>
  <si>
    <t>Resit\nvr camera imam 1480.jpg</t>
  </si>
  <si>
    <t>HDMI EXTENDER RX 3pcs and 1 set TX RX</t>
  </si>
  <si>
    <t>Resit\hdmi extender 981.6.pdf</t>
  </si>
  <si>
    <t>CAT 6 305M UTP</t>
  </si>
  <si>
    <t>ATEN VS-184A 4 PORT 4K HDMI SPLITTER  and ATEN VS-481B 4 PORT 4K HDMI SWITCH</t>
  </si>
  <si>
    <t>Resit\aten switch n aten splitter 730.9.jpg</t>
  </si>
  <si>
    <t>TV Bracket p6 x 4, NBT560-15 2pcs, Stand Portable x 1pcs</t>
  </si>
  <si>
    <t>Resit\TV Bracket 874.65.pdf</t>
  </si>
  <si>
    <t>Toshiba V300/S300 4TB Surveillance CCTV Internal Hard Disk</t>
  </si>
  <si>
    <t>Resit\hard disk 347.jpg</t>
  </si>
  <si>
    <t>Wireless Mouse for NVR and type C adapter</t>
  </si>
  <si>
    <t>Resit\mouse type c adapter 39.jpg</t>
  </si>
  <si>
    <t>Resit\invoice centrack.pdf</t>
  </si>
  <si>
    <t>Windows 11 shopee</t>
  </si>
  <si>
    <t>Resit\windows 5.pdf</t>
  </si>
  <si>
    <t>Resit\JVA02 video capture 306.9.jpg</t>
  </si>
  <si>
    <t>TP-Link Tapo P100 (Smart Plug)</t>
  </si>
  <si>
    <t>RJ45 Crimp Tools</t>
  </si>
  <si>
    <t>Resit\RJ45 Crimp tool 68.9.pdf</t>
  </si>
  <si>
    <t>Keelat Nail Gun</t>
  </si>
  <si>
    <t>Resit\Keelat Nail Gun 253.pdf</t>
  </si>
  <si>
    <t>Resit\hdmi splitter 60.84.jpg</t>
  </si>
  <si>
    <t>CAT 6 RJ45 CONNECTOR</t>
  </si>
  <si>
    <t>Resit\LAN Connector 19.jpg</t>
  </si>
  <si>
    <t>CAT6 Plug and USB lock</t>
  </si>
  <si>
    <t>Resit\cat6 plug usb lock 90.jpg</t>
  </si>
  <si>
    <t>Resit\Onten Video Capture 51.7.pdf</t>
  </si>
  <si>
    <t>Splitter Cable XLR Female to Dual XLR male</t>
  </si>
  <si>
    <t>Resit\Audio Splitter 54.9.pdf</t>
  </si>
  <si>
    <t>TAGGING DEVICE AND STICKER</t>
  </si>
  <si>
    <t>Resit\Label printer 83.79.pdf</t>
  </si>
  <si>
    <t>USB Security Lock Anti-Theft</t>
  </si>
  <si>
    <t>Resit\usb lock 39.7.jpg</t>
  </si>
  <si>
    <t>Dellivery Transport</t>
  </si>
  <si>
    <t>Resit\socar 34.64.pdf</t>
  </si>
  <si>
    <t>HDMI Receiver Pejabat</t>
  </si>
  <si>
    <t>Resit\hdmi receiver pejabat 190.9.jpg</t>
  </si>
  <si>
    <t>Stand TV Pejabat</t>
  </si>
  <si>
    <t>Resit\Stand TV pejabat 292.4.jpg</t>
  </si>
  <si>
    <t>Keyboard N Mouse</t>
  </si>
  <si>
    <t>Resit\Keyboard n mouse 67.jpg</t>
  </si>
  <si>
    <t>Cable Label Strip</t>
  </si>
  <si>
    <t>Resit\Label cable 31.94.jpg</t>
  </si>
  <si>
    <t xml:space="preserve">Cable tight </t>
  </si>
  <si>
    <t>Resit\eco ( cable tight jarum kertas pasir ) 19.2.jpg</t>
  </si>
  <si>
    <t>Plug, Casing, Plate</t>
  </si>
  <si>
    <t>Resit\plug 10pcs casing plate 55.jpg</t>
  </si>
  <si>
    <t>Half Moon, Plug, Cable Wrapper, PVS Casing, Extension</t>
  </si>
  <si>
    <t>Resit\plug casing half moon nail cable wrap extension plug 112.jpg</t>
  </si>
  <si>
    <t>Cable HDMI</t>
  </si>
  <si>
    <t>Resit\cable hdmi 180.jpg</t>
  </si>
  <si>
    <t>Cable HDMI and Cable Audio</t>
  </si>
  <si>
    <t>Resit\cable hdmi audio 370.jpg</t>
  </si>
  <si>
    <t>Hardware 1</t>
  </si>
  <si>
    <t>Resit\Hardware wiring 1 51.8.jpeg</t>
  </si>
  <si>
    <t>Hardware 2</t>
  </si>
  <si>
    <t>Resit\Hardware wiring 2 5.jpeg</t>
  </si>
  <si>
    <t>Hardware 3</t>
  </si>
  <si>
    <t>Resit\Hardware wiring 3 35.5.jpeg</t>
  </si>
  <si>
    <t>Hardware 4</t>
  </si>
  <si>
    <t>Resit\Hardware wiring 4 105.jpeg</t>
  </si>
  <si>
    <t>Hardware 5</t>
  </si>
  <si>
    <t>Resit\Hardware wiring 5 59.jpeg</t>
  </si>
  <si>
    <t>PC for Streaming</t>
  </si>
  <si>
    <t>Resit\Hakim.pdf</t>
  </si>
  <si>
    <t>Design</t>
  </si>
  <si>
    <t>Resit\design 300.pdf</t>
  </si>
  <si>
    <t>TV Samsung 55Bu8700</t>
  </si>
  <si>
    <t>Plug CAT6, Boots CAT6, Vention DP to HDMI, Vention Splitter</t>
  </si>
  <si>
    <t>Upah Khairil</t>
  </si>
  <si>
    <t>upah abang munir</t>
  </si>
  <si>
    <t>bg masjid</t>
  </si>
  <si>
    <t>HDMI Matrix Switcher 4x4 4k resolution</t>
  </si>
  <si>
    <t>Cabling and networking</t>
  </si>
  <si>
    <t>Troubleshooting</t>
  </si>
  <si>
    <t>Installation, Setup, Configuration and Commissioning</t>
  </si>
  <si>
    <t>Kerja-kerja Pemasangan HDMI Matrix Switcher dan Troubleshooting Paparan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</si>
</sst>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/m/yyyy"/>
    <numFmt numFmtId="165" formatCode="_-[$RM-4409]* #,##0.00_-;\-[$RM-4409]* #,##0.00_-;_-[$RM-4409]* &quot;-&quot;??_-;_-@"/>
    <numFmt numFmtId="166" formatCode="[$MYR]\ #,##0.00"/>
    <numFmt numFmtId="167" formatCode="_-[$RM-43E]* #,##0.00_-;\-[$RM-43E]* #,##0.00_-;_-[$RM-43E]* &quot;-&quot;??_-;_-@"/>
  </numFmts>
  <fonts count="42" x14ac:knownFonts="1">
    <font>
      <sz val="11"/>
      <color rgb="FF000000"/>
      <name val="Arial"/>
      <scheme val="minor"/>
    </font>
    <font>
      <sz val="16"/>
      <color theme="1"/>
      <name val="Arial"/>
      <family val="2"/>
    </font>
    <font>
      <sz val="16"/>
      <color theme="1"/>
      <name val="Trebuchet MS"/>
      <family val="2"/>
    </font>
    <font>
      <b/>
      <sz val="28"/>
      <color rgb="FF8394C9"/>
      <name val="Trebuchet MS"/>
      <family val="2"/>
    </font>
    <font>
      <b/>
      <sz val="28"/>
      <color theme="4"/>
      <name val="Arial"/>
      <family val="2"/>
    </font>
    <font>
      <sz val="10"/>
      <color theme="1"/>
      <name val="Arial"/>
      <family val="2"/>
    </font>
    <font>
      <sz val="8"/>
      <color theme="1"/>
      <name val="Tahoma"/>
      <family val="2"/>
    </font>
    <font>
      <u/>
      <sz val="10"/>
      <color rgb="FF0000FF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rgb="FF1F497D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28"/>
      <color rgb="FF656565"/>
      <name val="Century Gothic"/>
      <family val="2"/>
    </font>
    <font>
      <b/>
      <sz val="11"/>
      <color rgb="FFFF9900"/>
      <name val="Trebuchet MS"/>
      <family val="2"/>
    </font>
    <font>
      <sz val="9"/>
      <color rgb="FF000000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000000"/>
      <name val="Bookman Old Style"/>
      <family val="1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trike/>
      <sz val="11"/>
      <color theme="1"/>
      <name val="Arial"/>
      <family val="2"/>
    </font>
    <font>
      <b/>
      <u/>
      <sz val="11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u/>
      <sz val="10"/>
      <color rgb="FF0000FF"/>
      <name val="Arial"/>
      <family val="2"/>
    </font>
    <font>
      <i/>
      <sz val="10"/>
      <color theme="1"/>
      <name val="Arial"/>
      <family val="2"/>
    </font>
    <font>
      <i/>
      <sz val="9"/>
      <color rgb="FF1F497D"/>
      <name val="Arial"/>
      <family val="2"/>
    </font>
    <font>
      <b/>
      <sz val="28"/>
      <color theme="9"/>
      <name val="Century Gothic"/>
      <family val="2"/>
    </font>
    <font>
      <b/>
      <sz val="28"/>
      <color rgb="FF33CCCC"/>
      <name val="Century Gothic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  <font>
      <u/>
      <sz val="11"/>
      <color rgb="FF000000"/>
      <name val="Arial"/>
      <family val="2"/>
      <scheme val="minor"/>
    </font>
    <font>
      <u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39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2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vertical="center" shrinkToFit="1"/>
    </xf>
    <xf numFmtId="0" fontId="10" fillId="0" borderId="0" xfId="0" applyFont="1"/>
    <xf numFmtId="0" fontId="5" fillId="0" borderId="0" xfId="0" applyFont="1" applyAlignment="1">
      <alignment horizontal="left" vertical="top" wrapText="1"/>
    </xf>
    <xf numFmtId="0" fontId="8" fillId="2" borderId="3" xfId="0" applyFont="1" applyFill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center"/>
    </xf>
    <xf numFmtId="43" fontId="5" fillId="0" borderId="14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4" fillId="0" borderId="0" xfId="0" applyFont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center" vertical="top"/>
    </xf>
    <xf numFmtId="43" fontId="5" fillId="0" borderId="14" xfId="0" applyNumberFormat="1" applyFont="1" applyBorder="1" applyAlignment="1">
      <alignment vertical="top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43" fontId="5" fillId="0" borderId="14" xfId="0" applyNumberFormat="1" applyFont="1" applyBorder="1" applyAlignment="1">
      <alignment horizontal="center" vertical="center"/>
    </xf>
    <xf numFmtId="0" fontId="11" fillId="3" borderId="18" xfId="0" applyFont="1" applyFill="1" applyBorder="1"/>
    <xf numFmtId="0" fontId="11" fillId="4" borderId="18" xfId="0" applyFont="1" applyFill="1" applyBorder="1"/>
    <xf numFmtId="0" fontId="11" fillId="5" borderId="18" xfId="0" applyFont="1" applyFill="1" applyBorder="1"/>
    <xf numFmtId="165" fontId="11" fillId="3" borderId="18" xfId="0" applyNumberFormat="1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2" fontId="11" fillId="5" borderId="18" xfId="0" applyNumberFormat="1" applyFont="1" applyFill="1" applyBorder="1"/>
    <xf numFmtId="43" fontId="5" fillId="0" borderId="15" xfId="0" applyNumberFormat="1" applyFont="1" applyBorder="1" applyAlignment="1">
      <alignment vertical="top"/>
    </xf>
    <xf numFmtId="0" fontId="5" fillId="0" borderId="15" xfId="0" applyFont="1" applyBorder="1" applyAlignment="1">
      <alignment horizontal="center" vertical="center" wrapText="1"/>
    </xf>
    <xf numFmtId="0" fontId="11" fillId="0" borderId="0" xfId="0" applyFont="1"/>
    <xf numFmtId="0" fontId="11" fillId="0" borderId="19" xfId="0" applyFont="1" applyBorder="1" applyAlignment="1">
      <alignment horizontal="center" vertical="top"/>
    </xf>
    <xf numFmtId="0" fontId="5" fillId="0" borderId="15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center" vertical="center"/>
    </xf>
    <xf numFmtId="43" fontId="5" fillId="0" borderId="21" xfId="0" applyNumberFormat="1" applyFont="1" applyBorder="1" applyAlignment="1">
      <alignment vertical="top"/>
    </xf>
    <xf numFmtId="43" fontId="5" fillId="0" borderId="19" xfId="0" applyNumberFormat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43" fontId="17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5" fontId="18" fillId="6" borderId="23" xfId="0" applyNumberFormat="1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165" fontId="18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17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0" xfId="0" applyFont="1" applyBorder="1" applyAlignment="1">
      <alignment vertical="center" wrapText="1"/>
    </xf>
    <xf numFmtId="0" fontId="5" fillId="0" borderId="20" xfId="0" applyFont="1" applyBorder="1" applyAlignment="1">
      <alignment horizontal="left" vertical="top" wrapText="1"/>
    </xf>
    <xf numFmtId="43" fontId="5" fillId="0" borderId="14" xfId="0" applyNumberFormat="1" applyFont="1" applyBorder="1" applyAlignment="1">
      <alignment horizontal="center" vertical="top"/>
    </xf>
    <xf numFmtId="0" fontId="5" fillId="0" borderId="20" xfId="0" applyFont="1" applyBorder="1" applyAlignment="1">
      <alignment vertical="top"/>
    </xf>
    <xf numFmtId="0" fontId="5" fillId="0" borderId="20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43" fontId="5" fillId="0" borderId="0" xfId="0" applyNumberFormat="1" applyFont="1" applyAlignment="1">
      <alignment vertical="top"/>
    </xf>
    <xf numFmtId="0" fontId="11" fillId="0" borderId="0" xfId="0" applyFont="1" applyAlignment="1">
      <alignment horizontal="right" vertical="top"/>
    </xf>
    <xf numFmtId="0" fontId="11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/>
    <xf numFmtId="0" fontId="13" fillId="0" borderId="0" xfId="0" applyFont="1" applyAlignment="1">
      <alignment vertical="center"/>
    </xf>
    <xf numFmtId="0" fontId="11" fillId="0" borderId="14" xfId="0" applyFont="1" applyBorder="1"/>
    <xf numFmtId="0" fontId="23" fillId="0" borderId="0" xfId="0" applyFont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right" vertical="top"/>
    </xf>
    <xf numFmtId="0" fontId="11" fillId="0" borderId="3" xfId="0" applyFont="1" applyBorder="1" applyAlignment="1">
      <alignment vertical="center"/>
    </xf>
    <xf numFmtId="166" fontId="17" fillId="7" borderId="23" xfId="0" applyNumberFormat="1" applyFont="1" applyFill="1" applyBorder="1" applyAlignment="1">
      <alignment vertical="center"/>
    </xf>
    <xf numFmtId="43" fontId="11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17" fillId="0" borderId="0" xfId="0" applyNumberFormat="1" applyFont="1" applyAlignment="1">
      <alignment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167" fontId="17" fillId="0" borderId="2" xfId="0" applyNumberFormat="1" applyFont="1" applyBorder="1" applyAlignment="1">
      <alignment vertical="center"/>
    </xf>
    <xf numFmtId="167" fontId="17" fillId="0" borderId="2" xfId="0" applyNumberFormat="1" applyFont="1" applyBorder="1" applyAlignment="1">
      <alignment horizontal="right" vertical="center"/>
    </xf>
    <xf numFmtId="167" fontId="28" fillId="0" borderId="2" xfId="0" applyNumberFormat="1" applyFont="1" applyBorder="1" applyAlignment="1">
      <alignment horizontal="right" vertical="center"/>
    </xf>
    <xf numFmtId="167" fontId="17" fillId="5" borderId="23" xfId="0" applyNumberFormat="1" applyFont="1" applyFill="1" applyBorder="1" applyAlignment="1">
      <alignment horizontal="right" vertical="center"/>
    </xf>
    <xf numFmtId="0" fontId="5" fillId="0" borderId="7" xfId="0" applyFont="1" applyBorder="1"/>
    <xf numFmtId="0" fontId="5" fillId="0" borderId="15" xfId="0" applyFont="1" applyBorder="1"/>
    <xf numFmtId="165" fontId="18" fillId="5" borderId="23" xfId="0" applyNumberFormat="1" applyFont="1" applyFill="1" applyBorder="1" applyAlignment="1">
      <alignment vertical="center"/>
    </xf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1" fillId="0" borderId="0" xfId="0" applyFont="1" applyAlignment="1">
      <alignment vertical="center" wrapText="1"/>
    </xf>
    <xf numFmtId="0" fontId="30" fillId="8" borderId="18" xfId="0" applyFont="1" applyFill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0" fillId="5" borderId="18" xfId="0" applyFont="1" applyFill="1" applyBorder="1" applyAlignment="1">
      <alignment vertical="center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31" fillId="0" borderId="0" xfId="0" applyFont="1" applyAlignment="1">
      <alignment horizontal="center" vertical="top" wrapText="1"/>
    </xf>
    <xf numFmtId="0" fontId="32" fillId="0" borderId="0" xfId="0" applyFont="1"/>
    <xf numFmtId="0" fontId="23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center"/>
    </xf>
    <xf numFmtId="0" fontId="5" fillId="0" borderId="14" xfId="0" applyFont="1" applyBorder="1" applyAlignment="1">
      <alignment horizontal="center"/>
    </xf>
    <xf numFmtId="43" fontId="5" fillId="0" borderId="14" xfId="0" applyNumberFormat="1" applyFont="1" applyBorder="1" applyAlignment="1">
      <alignment horizontal="center"/>
    </xf>
    <xf numFmtId="43" fontId="5" fillId="0" borderId="14" xfId="0" applyNumberFormat="1" applyFont="1" applyBorder="1"/>
    <xf numFmtId="0" fontId="5" fillId="0" borderId="14" xfId="0" applyFont="1" applyBorder="1" applyAlignment="1">
      <alignment horizontal="left" vertical="top"/>
    </xf>
    <xf numFmtId="43" fontId="11" fillId="0" borderId="0" xfId="0" applyNumberFormat="1" applyFont="1"/>
    <xf numFmtId="0" fontId="5" fillId="0" borderId="0" xfId="0" applyFont="1" applyAlignment="1">
      <alignment vertical="top"/>
    </xf>
    <xf numFmtId="0" fontId="11" fillId="0" borderId="20" xfId="0" applyFont="1" applyBorder="1" applyAlignment="1">
      <alignment vertical="top"/>
    </xf>
    <xf numFmtId="0" fontId="8" fillId="9" borderId="18" xfId="0" applyFont="1" applyFill="1" applyBorder="1" applyAlignment="1">
      <alignment horizontal="center" vertical="center"/>
    </xf>
    <xf numFmtId="0" fontId="8" fillId="9" borderId="32" xfId="0" applyFont="1" applyFill="1" applyBorder="1" applyAlignment="1">
      <alignment horizontal="center" vertical="center"/>
    </xf>
    <xf numFmtId="0" fontId="8" fillId="9" borderId="36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 vertical="center"/>
    </xf>
    <xf numFmtId="0" fontId="11" fillId="0" borderId="38" xfId="0" applyFont="1" applyBorder="1"/>
    <xf numFmtId="43" fontId="5" fillId="0" borderId="15" xfId="0" applyNumberFormat="1" applyFont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165" fontId="11" fillId="5" borderId="18" xfId="0" applyNumberFormat="1" applyFont="1" applyFill="1" applyBorder="1"/>
    <xf numFmtId="0" fontId="12" fillId="0" borderId="0" xfId="0" applyFont="1"/>
    <xf numFmtId="43" fontId="33" fillId="0" borderId="15" xfId="0" applyNumberFormat="1" applyFont="1" applyBorder="1" applyAlignment="1">
      <alignment vertical="center"/>
    </xf>
    <xf numFmtId="0" fontId="12" fillId="0" borderId="0" xfId="0" applyFont="1" applyAlignment="1">
      <alignment vertical="top"/>
    </xf>
    <xf numFmtId="0" fontId="34" fillId="0" borderId="0" xfId="0" applyFont="1"/>
    <xf numFmtId="3" fontId="5" fillId="0" borderId="0" xfId="0" applyNumberFormat="1" applyFont="1"/>
    <xf numFmtId="0" fontId="5" fillId="0" borderId="0" xfId="0" applyFont="1" applyAlignment="1">
      <alignment vertical="top" wrapText="1"/>
    </xf>
    <xf numFmtId="0" fontId="5" fillId="0" borderId="20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43" fontId="5" fillId="0" borderId="14" xfId="0" applyNumberFormat="1" applyFont="1" applyBorder="1" applyAlignment="1">
      <alignment horizontal="left" vertical="top"/>
    </xf>
    <xf numFmtId="43" fontId="10" fillId="0" borderId="0" xfId="0" applyNumberFormat="1" applyFont="1"/>
    <xf numFmtId="0" fontId="23" fillId="0" borderId="20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11" fillId="3" borderId="18" xfId="0" applyFont="1" applyFill="1" applyBorder="1" applyAlignment="1">
      <alignment horizontal="left" vertical="top"/>
    </xf>
    <xf numFmtId="0" fontId="11" fillId="3" borderId="18" xfId="0" applyFont="1" applyFill="1" applyBorder="1" applyAlignment="1">
      <alignment horizontal="left" vertical="top" wrapText="1"/>
    </xf>
    <xf numFmtId="0" fontId="11" fillId="3" borderId="36" xfId="0" applyFont="1" applyFill="1" applyBorder="1" applyAlignment="1">
      <alignment horizontal="left" vertical="top" wrapText="1"/>
    </xf>
    <xf numFmtId="0" fontId="11" fillId="3" borderId="36" xfId="0" applyFont="1" applyFill="1" applyBorder="1" applyAlignment="1">
      <alignment horizontal="left" vertical="top"/>
    </xf>
    <xf numFmtId="0" fontId="11" fillId="10" borderId="36" xfId="0" applyFont="1" applyFill="1" applyBorder="1" applyAlignment="1">
      <alignment horizontal="left" vertical="top" wrapText="1"/>
    </xf>
    <xf numFmtId="0" fontId="11" fillId="5" borderId="18" xfId="0" applyFont="1" applyFill="1" applyBorder="1" applyAlignment="1">
      <alignment horizontal="left" vertical="top" wrapText="1"/>
    </xf>
    <xf numFmtId="0" fontId="14" fillId="0" borderId="0" xfId="0" applyFont="1" applyAlignment="1">
      <alignment horizontal="center" vertical="center" wrapText="1"/>
    </xf>
    <xf numFmtId="0" fontId="40" fillId="0" borderId="0" xfId="0" applyFont="1"/>
    <xf numFmtId="0" fontId="41" fillId="0" borderId="15" xfId="0" applyFont="1" applyBorder="1"/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9" fillId="0" borderId="15" xfId="0" applyFont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9" fillId="0" borderId="22" xfId="0" applyFont="1" applyBorder="1"/>
    <xf numFmtId="0" fontId="5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9" fillId="0" borderId="17" xfId="0" applyFont="1" applyBorder="1"/>
    <xf numFmtId="0" fontId="9" fillId="0" borderId="2" xfId="0" applyFont="1" applyBorder="1"/>
    <xf numFmtId="0" fontId="1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8" fillId="2" borderId="8" xfId="0" applyFont="1" applyFill="1" applyBorder="1" applyAlignment="1">
      <alignment horizontal="left" vertical="center"/>
    </xf>
    <xf numFmtId="0" fontId="9" fillId="0" borderId="9" xfId="0" applyFont="1" applyBorder="1"/>
    <xf numFmtId="0" fontId="9" fillId="0" borderId="10" xfId="0" applyFont="1" applyBorder="1"/>
    <xf numFmtId="0" fontId="1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8" fillId="2" borderId="11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8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5" xfId="0" applyFont="1" applyBorder="1"/>
    <xf numFmtId="0" fontId="8" fillId="0" borderId="6" xfId="0" applyFont="1" applyBorder="1" applyAlignment="1">
      <alignment horizontal="center" vertical="center"/>
    </xf>
    <xf numFmtId="0" fontId="9" fillId="0" borderId="6" xfId="0" applyFont="1" applyBorder="1"/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9" fillId="0" borderId="15" xfId="0" applyFont="1" applyBorder="1"/>
    <xf numFmtId="0" fontId="16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5" fillId="0" borderId="14" xfId="0" applyFont="1" applyBorder="1" applyAlignment="1">
      <alignment horizontal="center" vertical="center"/>
    </xf>
    <xf numFmtId="0" fontId="9" fillId="0" borderId="14" xfId="0" applyFont="1" applyBorder="1"/>
    <xf numFmtId="43" fontId="5" fillId="0" borderId="14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top" wrapText="1"/>
    </xf>
    <xf numFmtId="0" fontId="9" fillId="0" borderId="27" xfId="0" applyFont="1" applyBorder="1"/>
    <xf numFmtId="0" fontId="9" fillId="0" borderId="28" xfId="0" applyFont="1" applyBorder="1"/>
    <xf numFmtId="0" fontId="5" fillId="0" borderId="20" xfId="0" applyFont="1" applyBorder="1" applyAlignment="1">
      <alignment vertical="top" wrapText="1"/>
    </xf>
    <xf numFmtId="0" fontId="8" fillId="2" borderId="2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9" fillId="0" borderId="20" xfId="0" applyFont="1" applyBorder="1"/>
    <xf numFmtId="43" fontId="5" fillId="0" borderId="14" xfId="0" applyNumberFormat="1" applyFont="1" applyBorder="1" applyAlignment="1">
      <alignment vertical="top"/>
    </xf>
    <xf numFmtId="0" fontId="11" fillId="0" borderId="15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23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center"/>
    </xf>
    <xf numFmtId="43" fontId="5" fillId="0" borderId="14" xfId="0" applyNumberFormat="1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9" fillId="0" borderId="35" xfId="0" applyFont="1" applyBorder="1"/>
    <xf numFmtId="43" fontId="5" fillId="0" borderId="0" xfId="0" applyNumberFormat="1" applyFont="1" applyAlignment="1">
      <alignment vertical="top"/>
    </xf>
    <xf numFmtId="0" fontId="11" fillId="0" borderId="14" xfId="0" applyFont="1" applyBorder="1" applyAlignment="1">
      <alignment horizontal="center" vertical="top"/>
    </xf>
    <xf numFmtId="0" fontId="11" fillId="0" borderId="32" xfId="0" applyFont="1" applyBorder="1" applyAlignment="1">
      <alignment horizontal="center" vertical="top"/>
    </xf>
    <xf numFmtId="43" fontId="5" fillId="0" borderId="32" xfId="0" applyNumberFormat="1" applyFont="1" applyBorder="1" applyAlignment="1">
      <alignment vertical="top"/>
    </xf>
    <xf numFmtId="0" fontId="5" fillId="0" borderId="36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5" fillId="0" borderId="3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742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133350</xdr:rowOff>
    </xdr:from>
    <xdr:ext cx="1428750" cy="476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152400</xdr:rowOff>
    </xdr:from>
    <xdr:ext cx="2857500" cy="10477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133350</xdr:rowOff>
    </xdr:from>
    <xdr:ext cx="1428750" cy="32385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152400</xdr:rowOff>
    </xdr:from>
    <xdr:ext cx="2857500" cy="1047750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1266825</xdr:colOff>
      <xdr:row>29</xdr:row>
      <xdr:rowOff>104775</xdr:rowOff>
    </xdr:from>
    <xdr:ext cx="914400" cy="914400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52625" cy="10001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72</xdr:row>
      <xdr:rowOff>19050</xdr:rowOff>
    </xdr:from>
    <xdr:ext cx="1933575" cy="923925"/>
    <xdr:pic>
      <xdr:nvPicPr>
        <xdr:cNvPr id="5" name="image7.png" descr="A black background with blue text&#10;&#10;AI-generated content may be incorrect.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52625" cy="10001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72</xdr:row>
      <xdr:rowOff>19050</xdr:rowOff>
    </xdr:from>
    <xdr:ext cx="1933575" cy="923925"/>
    <xdr:pic>
      <xdr:nvPicPr>
        <xdr:cNvPr id="5" name="image7.png" descr="A black background with blue text&#10;&#10;AI-generated content may be incorrect.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933575" cy="1228725"/>
    <xdr:pic>
      <xdr:nvPicPr>
        <xdr:cNvPr id="5" name="image7.png" descr="A black background with blue text&#10;&#10;AI-generated content may be incorrect.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933575" cy="1228725"/>
    <xdr:pic>
      <xdr:nvPicPr>
        <xdr:cNvPr id="5" name="image7.png" descr="A black background with blue text&#10;&#10;AI-generated content may be incorrect.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409575</xdr:rowOff>
    </xdr:from>
    <xdr:ext cx="1962150" cy="742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419100</xdr:colOff>
      <xdr:row>0</xdr:row>
      <xdr:rowOff>419100</xdr:rowOff>
    </xdr:from>
    <xdr:ext cx="1962150" cy="742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419100</xdr:colOff>
      <xdr:row>0</xdr:row>
      <xdr:rowOff>419100</xdr:rowOff>
    </xdr:from>
    <xdr:ext cx="1962150" cy="742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419100</xdr:colOff>
      <xdr:row>0</xdr:row>
      <xdr:rowOff>419100</xdr:rowOff>
    </xdr:from>
    <xdr:ext cx="1962150" cy="742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133350</xdr:rowOff>
    </xdr:from>
    <xdr:ext cx="1428750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ayroll%20Template\OneAccount\For%20Sale\SME_Simple%20Billing\SME_Simple%20Billing%20v1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Quotation"/>
      <sheetName val="Sales Order"/>
      <sheetName val="Invoice"/>
      <sheetName val="DO"/>
      <sheetName val="Cash Bill"/>
      <sheetName val="OR"/>
      <sheetName val="CN"/>
      <sheetName val="DN"/>
      <sheetName val="Customer Profile"/>
      <sheetName val="PO"/>
      <sheetName val="PV"/>
      <sheetName val="Supplier Profile"/>
      <sheetName val="SME_Simple Billing v1 - Copy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92929"/>
      </a:accent1>
      <a:accent2>
        <a:srgbClr val="C0504D"/>
      </a:accent2>
      <a:accent3>
        <a:srgbClr val="9BBB59"/>
      </a:accent3>
      <a:accent4>
        <a:srgbClr val="8064A2"/>
      </a:accent4>
      <a:accent5>
        <a:srgbClr val="4F81BD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vertex42.com/ExcelTemplates/quote-template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vertex42.com/ExcelTemplates/quote-template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vertex42.com/ExcelTemplates/quote-template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vertex42.com/ExcelTemplates/quote-template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vertex42.com/ExcelTemplates/quote-template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ExcelTemplates/quote-template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vertex42.com/ExcelTemplates/quote-template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vertex42.com/ExcelTemplates/quote-template.html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vertex42.com/ExcelTemplates/quote-template.ht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www.vertex42.com/ExcelTemplates/quote-template.html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www.vertex42.com/ExcelTemplates/quote-template.html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www.vertex42.com/ExcelTemplates/quote-template.html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www.vertex42.com/ExcelTemplates/quote-template.html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s://www.vertex42.com/ExcelTemplates/quote-template.html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s://www.vertex42.com/ExcelTemplates/quote-template.html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s://www.vertex42.com/ExcelTemplates/quote-template.html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https://www.vertex42.com/ExcelTemplates/quote-template.html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://pindah/MUHAMMAD%20HAKIM%20BIN%20ABD%20MALEK,%20940620-14-5519/Hamzah/Resit/windows%205.pdf" TargetMode="External"/><Relationship Id="rId18" Type="http://schemas.openxmlformats.org/officeDocument/2006/relationships/hyperlink" Target="http://pindah/MUHAMMAD%20HAKIM%20BIN%20ABD%20MALEK,%20940620-14-5519/Hamzah/Resit/Keelat%20Nail%20Gun%20253.pdf" TargetMode="External"/><Relationship Id="rId26" Type="http://schemas.openxmlformats.org/officeDocument/2006/relationships/hyperlink" Target="http://pindah/MUHAMMAD%20HAKIM%20BIN%20ABD%20MALEK,%20940620-14-5519/Hamzah/Resit/socar%2034.64.pdf" TargetMode="External"/><Relationship Id="rId39" Type="http://schemas.openxmlformats.org/officeDocument/2006/relationships/hyperlink" Target="http://pindah/MUHAMMAD%20HAKIM%20BIN%20ABD%20MALEK,%20940620-14-5519/Hamzah/Resit/Hardware%20wiring%204%20105.jpeg" TargetMode="External"/><Relationship Id="rId21" Type="http://schemas.openxmlformats.org/officeDocument/2006/relationships/hyperlink" Target="http://pindah/MUHAMMAD%20HAKIM%20BIN%20ABD%20MALEK,%20940620-14-5519/Hamzah/Resit/cat6%20plug%20usb%20lock%2090.jpg" TargetMode="External"/><Relationship Id="rId34" Type="http://schemas.openxmlformats.org/officeDocument/2006/relationships/hyperlink" Target="http://pindah/MUHAMMAD%20HAKIM%20BIN%20ABD%20MALEK,%20940620-14-5519/Hamzah/Resit/cable%20hdmi%20180.jpg" TargetMode="External"/><Relationship Id="rId42" Type="http://schemas.openxmlformats.org/officeDocument/2006/relationships/hyperlink" Target="http://pindah/MUHAMMAD%20HAKIM%20BIN%20ABD%20MALEK,%20940620-14-5519/Hamzah/Resit/design%20300.pdf" TargetMode="External"/><Relationship Id="rId7" Type="http://schemas.openxmlformats.org/officeDocument/2006/relationships/hyperlink" Target="http://pindah/MUHAMMAD%20HAKIM%20BIN%20ABD%20MALEK,%20940620-14-5519/Hamzah/Resit/cable%20cat6%201340.jpg" TargetMode="External"/><Relationship Id="rId2" Type="http://schemas.openxmlformats.org/officeDocument/2006/relationships/hyperlink" Target="http://pindah/MUHAMMAD%20HAKIM%20BIN%20ABD%20MALEK,%20940620-14-5519/Hamzah/Resit/invoice%20PTZ%20Dahua.pdf" TargetMode="External"/><Relationship Id="rId16" Type="http://schemas.openxmlformats.org/officeDocument/2006/relationships/hyperlink" Target="http://pindah/MUHAMMAD%20HAKIM%20BIN%20ABD%20MALEK,%20940620-14-5519/Hamzah/Resit/invoice%20PTZ%20Dahua.pdf" TargetMode="External"/><Relationship Id="rId20" Type="http://schemas.openxmlformats.org/officeDocument/2006/relationships/hyperlink" Target="http://pindah/MUHAMMAD%20HAKIM%20BIN%20ABD%20MALEK,%20940620-14-5519/Hamzah/Resit/LAN%20Connector%2019.jpg" TargetMode="External"/><Relationship Id="rId29" Type="http://schemas.openxmlformats.org/officeDocument/2006/relationships/hyperlink" Target="http://pindah/MUHAMMAD%20HAKIM%20BIN%20ABD%20MALEK,%20940620-14-5519/Hamzah/Resit/Keyboard%20n%20mouse%2067.jpg" TargetMode="External"/><Relationship Id="rId41" Type="http://schemas.openxmlformats.org/officeDocument/2006/relationships/hyperlink" Target="http://pindah/MUHAMMAD%20HAKIM%20BIN%20ABD%20MALEK,%20940620-14-5519/Hamzah/Resit/Hakim.pdf" TargetMode="External"/><Relationship Id="rId1" Type="http://schemas.openxmlformats.org/officeDocument/2006/relationships/hyperlink" Target="http://pindah/MUHAMMAD%20HAKIM%20BIN%20ABD%20MALEK,%20940620-14-5519/Hamzah/Resit/tv%20samsung%2011562.jpg" TargetMode="External"/><Relationship Id="rId6" Type="http://schemas.openxmlformats.org/officeDocument/2006/relationships/hyperlink" Target="http://pindah/MUHAMMAD%20HAKIM%20BIN%20ABD%20MALEK,%20940620-14-5519/Hamzah/Resit/nvr%20camera%20imam%201480.jpg" TargetMode="External"/><Relationship Id="rId11" Type="http://schemas.openxmlformats.org/officeDocument/2006/relationships/hyperlink" Target="http://pindah/MUHAMMAD%20HAKIM%20BIN%20ABD%20MALEK,%20940620-14-5519/Hamzah/Resit/mouse%20type%20c%20adapter%2039.jpg" TargetMode="External"/><Relationship Id="rId24" Type="http://schemas.openxmlformats.org/officeDocument/2006/relationships/hyperlink" Target="http://pindah/MUHAMMAD%20HAKIM%20BIN%20ABD%20MALEK,%20940620-14-5519/Hamzah/Resit/Label%20printer%2083.79.pdf" TargetMode="External"/><Relationship Id="rId32" Type="http://schemas.openxmlformats.org/officeDocument/2006/relationships/hyperlink" Target="http://pindah/MUHAMMAD%20HAKIM%20BIN%20ABD%20MALEK,%20940620-14-5519/Hamzah/Resit/plug%2010pcs%20casing%20plate%2055.jpg" TargetMode="External"/><Relationship Id="rId37" Type="http://schemas.openxmlformats.org/officeDocument/2006/relationships/hyperlink" Target="http://pindah/MUHAMMAD%20HAKIM%20BIN%20ABD%20MALEK,%20940620-14-5519/Hamzah/Resit/Hardware%20wiring%202%205.jpeg" TargetMode="External"/><Relationship Id="rId40" Type="http://schemas.openxmlformats.org/officeDocument/2006/relationships/hyperlink" Target="http://pindah/MUHAMMAD%20HAKIM%20BIN%20ABD%20MALEK,%20940620-14-5519/Hamzah/Resit/Hardware%20wiring%205%2059.jpeg" TargetMode="External"/><Relationship Id="rId5" Type="http://schemas.openxmlformats.org/officeDocument/2006/relationships/hyperlink" Target="http://pindah/MUHAMMAD%20HAKIM%20BIN%20ABD%20MALEK,%20940620-14-5519/Hamzah/Resit/hdmi%20extender%20981.6.pdf" TargetMode="External"/><Relationship Id="rId15" Type="http://schemas.openxmlformats.org/officeDocument/2006/relationships/hyperlink" Target="http://pindah/MUHAMMAD%20HAKIM%20BIN%20ABD%20MALEK,%20940620-14-5519/Hamzah/Resit/invoice%20PTZ%20Dahua.pdf" TargetMode="External"/><Relationship Id="rId23" Type="http://schemas.openxmlformats.org/officeDocument/2006/relationships/hyperlink" Target="http://pindah/MUHAMMAD%20HAKIM%20BIN%20ABD%20MALEK,%20940620-14-5519/Hamzah/Resit/Audio%20Splitter%2054.9.pdf" TargetMode="External"/><Relationship Id="rId28" Type="http://schemas.openxmlformats.org/officeDocument/2006/relationships/hyperlink" Target="http://pindah/MUHAMMAD%20HAKIM%20BIN%20ABD%20MALEK,%20940620-14-5519/Hamzah/Resit/Stand%20TV%20pejabat%20292.4.jpg" TargetMode="External"/><Relationship Id="rId36" Type="http://schemas.openxmlformats.org/officeDocument/2006/relationships/hyperlink" Target="http://pindah/MUHAMMAD%20HAKIM%20BIN%20ABD%20MALEK,%20940620-14-5519/Hamzah/Resit/Hardware%20wiring%201%2051.8.jpeg" TargetMode="External"/><Relationship Id="rId10" Type="http://schemas.openxmlformats.org/officeDocument/2006/relationships/hyperlink" Target="http://pindah/MUHAMMAD%20HAKIM%20BIN%20ABD%20MALEK,%20940620-14-5519/Hamzah/Resit/hard%20disk%20347.jpg" TargetMode="External"/><Relationship Id="rId19" Type="http://schemas.openxmlformats.org/officeDocument/2006/relationships/hyperlink" Target="http://pindah/MUHAMMAD%20HAKIM%20BIN%20ABD%20MALEK,%20940620-14-5519/Hamzah/Resit/hdmi%20splitter%2060.84.jpg" TargetMode="External"/><Relationship Id="rId31" Type="http://schemas.openxmlformats.org/officeDocument/2006/relationships/hyperlink" Target="http://pindah/MUHAMMAD%20HAKIM%20BIN%20ABD%20MALEK,%20940620-14-5519/Hamzah/Resit/eco%20(%20cable%20tight%20jarum%20kertas%20pasir%20)%2019.2.jpg" TargetMode="External"/><Relationship Id="rId4" Type="http://schemas.openxmlformats.org/officeDocument/2006/relationships/hyperlink" Target="http://pindah/MUHAMMAD%20HAKIM%20BIN%20ABD%20MALEK,%20940620-14-5519/Hamzah/Resit/nvr%20camera%20imam%201480.jpg" TargetMode="External"/><Relationship Id="rId9" Type="http://schemas.openxmlformats.org/officeDocument/2006/relationships/hyperlink" Target="http://pindah/MUHAMMAD%20HAKIM%20BIN%20ABD%20MALEK,%20940620-14-5519/Hamzah/Resit/TV%20Bracket%20874.65.pdf" TargetMode="External"/><Relationship Id="rId14" Type="http://schemas.openxmlformats.org/officeDocument/2006/relationships/hyperlink" Target="http://pindah/MUHAMMAD%20HAKIM%20BIN%20ABD%20MALEK,%20940620-14-5519/Hamzah/Resit/JVA02%20video%20capture%20306.9.jpg" TargetMode="External"/><Relationship Id="rId22" Type="http://schemas.openxmlformats.org/officeDocument/2006/relationships/hyperlink" Target="http://pindah/MUHAMMAD%20HAKIM%20BIN%20ABD%20MALEK,%20940620-14-5519/Hamzah/Resit/Onten%20Video%20Capture%2051.7.pdf" TargetMode="External"/><Relationship Id="rId27" Type="http://schemas.openxmlformats.org/officeDocument/2006/relationships/hyperlink" Target="http://pindah/MUHAMMAD%20HAKIM%20BIN%20ABD%20MALEK,%20940620-14-5519/Hamzah/Resit/hdmi%20receiver%20pejabat%20190.9.jpg" TargetMode="External"/><Relationship Id="rId30" Type="http://schemas.openxmlformats.org/officeDocument/2006/relationships/hyperlink" Target="http://pindah/MUHAMMAD%20HAKIM%20BIN%20ABD%20MALEK,%20940620-14-5519/Hamzah/Resit/Label%20cable%2031.94.jpg" TargetMode="External"/><Relationship Id="rId35" Type="http://schemas.openxmlformats.org/officeDocument/2006/relationships/hyperlink" Target="http://pindah/MUHAMMAD%20HAKIM%20BIN%20ABD%20MALEK,%20940620-14-5519/Hamzah/Resit/cable%20hdmi%20audio%20370.jpg" TargetMode="External"/><Relationship Id="rId8" Type="http://schemas.openxmlformats.org/officeDocument/2006/relationships/hyperlink" Target="http://pindah/MUHAMMAD%20HAKIM%20BIN%20ABD%20MALEK,%20940620-14-5519/Hamzah/Resit/aten%20switch%20n%20aten%20splitter%20730.9.jpg" TargetMode="External"/><Relationship Id="rId3" Type="http://schemas.openxmlformats.org/officeDocument/2006/relationships/hyperlink" Target="http://pindah/MUHAMMAD%20HAKIM%20BIN%20ABD%20MALEK,%20940620-14-5519/Hamzah/Resit/cable%20cat6%201340.jpg" TargetMode="External"/><Relationship Id="rId12" Type="http://schemas.openxmlformats.org/officeDocument/2006/relationships/hyperlink" Target="http://pindah/MUHAMMAD%20HAKIM%20BIN%20ABD%20MALEK,%20940620-14-5519/Hamzah/Resit/invoice%20centrack.pdf" TargetMode="External"/><Relationship Id="rId17" Type="http://schemas.openxmlformats.org/officeDocument/2006/relationships/hyperlink" Target="http://pindah/MUHAMMAD%20HAKIM%20BIN%20ABD%20MALEK,%20940620-14-5519/Hamzah/Resit/RJ45%20Crimp%20tool%2068.9.pdf" TargetMode="External"/><Relationship Id="rId25" Type="http://schemas.openxmlformats.org/officeDocument/2006/relationships/hyperlink" Target="http://pindah/MUHAMMAD%20HAKIM%20BIN%20ABD%20MALEK,%20940620-14-5519/Hamzah/Resit/usb%20lock%2039.7.jpg" TargetMode="External"/><Relationship Id="rId33" Type="http://schemas.openxmlformats.org/officeDocument/2006/relationships/hyperlink" Target="http://pindah/MUHAMMAD%20HAKIM%20BIN%20ABD%20MALEK,%20940620-14-5519/Hamzah/Resit/plug%20casing%20half%20moon%20nail%20cable%20wrap%20extension%20plug%20112.jpg" TargetMode="External"/><Relationship Id="rId38" Type="http://schemas.openxmlformats.org/officeDocument/2006/relationships/hyperlink" Target="http://pindah/MUHAMMAD%20HAKIM%20BIN%20ABD%20MALEK,%20940620-14-5519/Hamzah/Resit/Hardware%20wiring%203%2035.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7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3893</v>
      </c>
      <c r="H5" s="182"/>
      <c r="I5" s="11">
        <v>45956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14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15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21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11" ht="14.25" customHeight="1" x14ac:dyDescent="0.2">
      <c r="A17" s="22"/>
      <c r="B17" s="28"/>
      <c r="C17" s="28"/>
      <c r="D17" s="28"/>
      <c r="E17" s="28"/>
      <c r="F17" s="29"/>
      <c r="G17" s="26"/>
      <c r="H17" s="24"/>
      <c r="I17" s="24"/>
      <c r="J17" s="27"/>
      <c r="K17" s="19"/>
    </row>
    <row r="18" spans="1:11" ht="14.25" customHeight="1" x14ac:dyDescent="0.2">
      <c r="A18" s="22"/>
      <c r="B18" s="192" t="s">
        <v>22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11" ht="14.25" customHeight="1" x14ac:dyDescent="0.2">
      <c r="A19" s="22"/>
      <c r="B19" s="30"/>
      <c r="C19" s="30"/>
      <c r="D19" s="30"/>
      <c r="E19" s="30"/>
      <c r="F19" s="31"/>
      <c r="G19" s="26"/>
      <c r="H19" s="24"/>
      <c r="I19" s="24"/>
      <c r="J19" s="27"/>
      <c r="K19" s="19"/>
    </row>
    <row r="20" spans="1:11" ht="39" customHeight="1" x14ac:dyDescent="0.2">
      <c r="A20" s="22">
        <v>1</v>
      </c>
      <c r="B20" s="171" t="s">
        <v>23</v>
      </c>
      <c r="C20" s="165"/>
      <c r="D20" s="165"/>
      <c r="E20" s="165"/>
      <c r="F20" s="189"/>
      <c r="G20" s="32">
        <v>1</v>
      </c>
      <c r="H20" s="33">
        <v>290</v>
      </c>
      <c r="I20" s="33">
        <v>290</v>
      </c>
      <c r="J20" s="27">
        <v>150</v>
      </c>
      <c r="K20" s="19"/>
    </row>
    <row r="21" spans="1:11" ht="14.25" customHeight="1" x14ac:dyDescent="0.2">
      <c r="A21" s="22">
        <v>2</v>
      </c>
      <c r="B21" s="171" t="s">
        <v>24</v>
      </c>
      <c r="C21" s="165"/>
      <c r="D21" s="165"/>
      <c r="E21" s="165"/>
      <c r="F21" s="189"/>
      <c r="G21" s="32">
        <v>1</v>
      </c>
      <c r="H21" s="33">
        <v>480</v>
      </c>
      <c r="I21" s="33">
        <v>480</v>
      </c>
      <c r="J21" s="27">
        <v>290</v>
      </c>
      <c r="K21" s="19"/>
    </row>
    <row r="22" spans="1:11" ht="14.25" customHeight="1" x14ac:dyDescent="0.2">
      <c r="A22" s="22">
        <v>3</v>
      </c>
      <c r="B22" s="171" t="s">
        <v>25</v>
      </c>
      <c r="C22" s="165"/>
      <c r="D22" s="165"/>
      <c r="E22" s="165"/>
      <c r="F22" s="189"/>
      <c r="G22" s="32">
        <v>1</v>
      </c>
      <c r="H22" s="33">
        <v>490</v>
      </c>
      <c r="I22" s="33">
        <v>490</v>
      </c>
      <c r="J22" s="27">
        <v>250</v>
      </c>
      <c r="K22" s="19" t="s">
        <v>26</v>
      </c>
    </row>
    <row r="23" spans="1:11" ht="14.25" customHeight="1" x14ac:dyDescent="0.2">
      <c r="A23" s="22">
        <v>4</v>
      </c>
      <c r="B23" s="171" t="s">
        <v>27</v>
      </c>
      <c r="C23" s="165"/>
      <c r="D23" s="165"/>
      <c r="E23" s="165"/>
      <c r="F23" s="189"/>
      <c r="G23" s="32">
        <v>5</v>
      </c>
      <c r="H23" s="33">
        <v>190</v>
      </c>
      <c r="I23" s="33">
        <v>950</v>
      </c>
      <c r="J23" s="27">
        <v>400</v>
      </c>
      <c r="K23" s="19"/>
    </row>
    <row r="24" spans="1:11" ht="39.75" customHeight="1" x14ac:dyDescent="0.2">
      <c r="A24" s="22">
        <v>5</v>
      </c>
      <c r="B24" s="171" t="s">
        <v>28</v>
      </c>
      <c r="C24" s="165"/>
      <c r="D24" s="165"/>
      <c r="E24" s="165"/>
      <c r="F24" s="189"/>
      <c r="G24" s="32">
        <v>1</v>
      </c>
      <c r="H24" s="33">
        <v>290</v>
      </c>
      <c r="I24" s="33">
        <v>290</v>
      </c>
      <c r="J24" s="27">
        <v>150</v>
      </c>
      <c r="K24" s="19"/>
    </row>
    <row r="25" spans="1:11" ht="14.25" customHeight="1" x14ac:dyDescent="0.2">
      <c r="A25" s="22">
        <v>6</v>
      </c>
      <c r="B25" s="164" t="s">
        <v>29</v>
      </c>
      <c r="C25" s="165"/>
      <c r="D25" s="165"/>
      <c r="E25" s="165"/>
      <c r="F25" s="189"/>
      <c r="G25" s="26">
        <v>1</v>
      </c>
      <c r="H25" s="24">
        <v>150</v>
      </c>
      <c r="I25" s="24">
        <v>150</v>
      </c>
      <c r="J25" s="27">
        <v>100</v>
      </c>
      <c r="K25" s="19"/>
    </row>
    <row r="26" spans="1:11" ht="14.25" customHeight="1" x14ac:dyDescent="0.2">
      <c r="A26" s="22">
        <v>7</v>
      </c>
      <c r="B26" s="164" t="s">
        <v>30</v>
      </c>
      <c r="C26" s="165"/>
      <c r="D26" s="165"/>
      <c r="E26" s="165"/>
      <c r="F26" s="189"/>
      <c r="G26" s="26">
        <v>1</v>
      </c>
      <c r="H26" s="24">
        <v>429</v>
      </c>
      <c r="I26" s="24">
        <v>429</v>
      </c>
      <c r="J26" s="27">
        <v>325</v>
      </c>
      <c r="K26" s="19"/>
    </row>
    <row r="27" spans="1:11" ht="14.25" customHeight="1" x14ac:dyDescent="0.2">
      <c r="A27" s="22">
        <v>8</v>
      </c>
      <c r="B27" s="164" t="s">
        <v>31</v>
      </c>
      <c r="C27" s="165"/>
      <c r="D27" s="165"/>
      <c r="E27" s="165"/>
      <c r="F27" s="189"/>
      <c r="G27" s="26">
        <v>1</v>
      </c>
      <c r="H27" s="24">
        <v>480</v>
      </c>
      <c r="I27" s="24">
        <v>480</v>
      </c>
      <c r="J27" s="27">
        <v>240</v>
      </c>
      <c r="K27" s="19"/>
    </row>
    <row r="28" spans="1:11" ht="14.25" customHeight="1" x14ac:dyDescent="0.2">
      <c r="A28" s="22">
        <v>9</v>
      </c>
      <c r="B28" s="164" t="s">
        <v>32</v>
      </c>
      <c r="C28" s="165"/>
      <c r="D28" s="165"/>
      <c r="E28" s="165"/>
      <c r="F28" s="189"/>
      <c r="G28" s="26">
        <v>1</v>
      </c>
      <c r="H28" s="24">
        <v>659</v>
      </c>
      <c r="I28" s="24">
        <v>659</v>
      </c>
      <c r="J28" s="27">
        <v>455</v>
      </c>
      <c r="K28" s="19"/>
    </row>
    <row r="29" spans="1:11" ht="14.25" customHeight="1" x14ac:dyDescent="0.2">
      <c r="A29" s="22">
        <v>10</v>
      </c>
      <c r="B29" s="164" t="s">
        <v>33</v>
      </c>
      <c r="C29" s="165"/>
      <c r="D29" s="165"/>
      <c r="E29" s="165"/>
      <c r="F29" s="189"/>
      <c r="G29" s="26">
        <v>1</v>
      </c>
      <c r="H29" s="24">
        <v>349</v>
      </c>
      <c r="I29" s="24">
        <v>349</v>
      </c>
      <c r="J29" s="27">
        <v>295</v>
      </c>
      <c r="K29" s="19"/>
    </row>
    <row r="30" spans="1:11" ht="14.25" customHeight="1" x14ac:dyDescent="0.2">
      <c r="A30" s="22">
        <v>11</v>
      </c>
      <c r="B30" s="164" t="s">
        <v>34</v>
      </c>
      <c r="C30" s="165"/>
      <c r="D30" s="165"/>
      <c r="E30" s="165"/>
      <c r="F30" s="189"/>
      <c r="G30" s="26">
        <v>1</v>
      </c>
      <c r="H30" s="24">
        <v>599</v>
      </c>
      <c r="I30" s="24">
        <v>599</v>
      </c>
      <c r="J30" s="27">
        <v>459</v>
      </c>
      <c r="K30" s="19"/>
    </row>
    <row r="31" spans="1:11" ht="27.75" customHeight="1" x14ac:dyDescent="0.2">
      <c r="A31" s="22">
        <v>12</v>
      </c>
      <c r="B31" s="164" t="s">
        <v>35</v>
      </c>
      <c r="C31" s="165"/>
      <c r="D31" s="165"/>
      <c r="E31" s="165"/>
      <c r="F31" s="189"/>
      <c r="G31" s="26">
        <v>1</v>
      </c>
      <c r="H31" s="24">
        <v>299</v>
      </c>
      <c r="I31" s="24">
        <v>299</v>
      </c>
      <c r="J31" s="27">
        <v>130</v>
      </c>
      <c r="K31" s="19"/>
    </row>
    <row r="32" spans="1:11" ht="14.25" customHeight="1" x14ac:dyDescent="0.2">
      <c r="A32" s="22">
        <v>13</v>
      </c>
      <c r="B32" s="164" t="s">
        <v>36</v>
      </c>
      <c r="C32" s="165"/>
      <c r="D32" s="165"/>
      <c r="E32" s="165"/>
      <c r="F32" s="189"/>
      <c r="G32" s="26">
        <v>1</v>
      </c>
      <c r="H32" s="24">
        <v>99</v>
      </c>
      <c r="I32" s="24">
        <v>99</v>
      </c>
      <c r="J32" s="27">
        <v>60</v>
      </c>
      <c r="K32" s="19"/>
    </row>
    <row r="33" spans="1:11" ht="14.25" customHeight="1" x14ac:dyDescent="0.2">
      <c r="A33" s="22">
        <v>14</v>
      </c>
      <c r="B33" s="164" t="s">
        <v>37</v>
      </c>
      <c r="C33" s="165"/>
      <c r="D33" s="165"/>
      <c r="E33" s="165"/>
      <c r="F33" s="189"/>
      <c r="G33" s="26">
        <v>1</v>
      </c>
      <c r="H33" s="24">
        <v>289</v>
      </c>
      <c r="I33" s="24">
        <v>289</v>
      </c>
      <c r="J33" s="27">
        <v>189</v>
      </c>
      <c r="K33" s="19"/>
    </row>
    <row r="34" spans="1:11" ht="14.25" customHeight="1" x14ac:dyDescent="0.2">
      <c r="A34" s="22">
        <v>15</v>
      </c>
      <c r="B34" s="164" t="s">
        <v>38</v>
      </c>
      <c r="C34" s="165"/>
      <c r="D34" s="165"/>
      <c r="E34" s="165"/>
      <c r="F34" s="189"/>
      <c r="G34" s="26">
        <v>1</v>
      </c>
      <c r="H34" s="24">
        <v>400</v>
      </c>
      <c r="I34" s="24">
        <v>400</v>
      </c>
      <c r="J34" s="27">
        <v>200</v>
      </c>
      <c r="K34" s="19"/>
    </row>
    <row r="35" spans="1:11" ht="14.25" customHeight="1" x14ac:dyDescent="0.2">
      <c r="A35" s="22"/>
      <c r="B35" s="164"/>
      <c r="C35" s="165"/>
      <c r="D35" s="165"/>
      <c r="E35" s="165"/>
      <c r="F35" s="189"/>
      <c r="G35" s="26"/>
      <c r="H35" s="24"/>
      <c r="I35" s="24"/>
      <c r="J35" s="27"/>
      <c r="K35" s="19"/>
    </row>
    <row r="36" spans="1:11" ht="14.25" customHeight="1" x14ac:dyDescent="0.2">
      <c r="A36" s="22"/>
      <c r="B36" s="164"/>
      <c r="C36" s="165"/>
      <c r="D36" s="165"/>
      <c r="E36" s="165"/>
      <c r="F36" s="189"/>
      <c r="G36" s="26"/>
      <c r="H36" s="24"/>
      <c r="I36" s="24"/>
      <c r="J36" s="27"/>
      <c r="K36" s="19"/>
    </row>
    <row r="37" spans="1:11" ht="14.25" customHeight="1" x14ac:dyDescent="0.2">
      <c r="A37" s="22"/>
      <c r="B37" s="190" t="s">
        <v>39</v>
      </c>
      <c r="C37" s="165"/>
      <c r="D37" s="165"/>
      <c r="E37" s="165"/>
      <c r="F37" s="189"/>
      <c r="G37" s="26"/>
      <c r="H37" s="24"/>
      <c r="I37" s="24"/>
      <c r="J37" s="27"/>
      <c r="K37" s="19"/>
    </row>
    <row r="38" spans="1:11" ht="14.25" customHeight="1" x14ac:dyDescent="0.2">
      <c r="A38" s="22"/>
      <c r="B38" s="166"/>
      <c r="C38" s="165"/>
      <c r="D38" s="165"/>
      <c r="E38" s="165"/>
      <c r="F38" s="189"/>
      <c r="G38" s="26"/>
      <c r="H38" s="24"/>
      <c r="I38" s="24"/>
      <c r="J38" s="27"/>
      <c r="K38" s="19"/>
    </row>
    <row r="39" spans="1:11" ht="14.25" customHeight="1" x14ac:dyDescent="0.2">
      <c r="A39" s="22">
        <v>1</v>
      </c>
      <c r="B39" s="171" t="s">
        <v>40</v>
      </c>
      <c r="C39" s="165"/>
      <c r="D39" s="165"/>
      <c r="E39" s="165"/>
      <c r="F39" s="189"/>
      <c r="G39" s="26">
        <v>4</v>
      </c>
      <c r="H39" s="24">
        <v>4899</v>
      </c>
      <c r="I39" s="24">
        <f>SUM(H39*G39)</f>
        <v>19596</v>
      </c>
      <c r="J39" s="27">
        <v>15600</v>
      </c>
      <c r="K39" s="19"/>
    </row>
    <row r="40" spans="1:11" ht="14.25" customHeight="1" x14ac:dyDescent="0.2">
      <c r="A40" s="22">
        <v>2</v>
      </c>
      <c r="B40" s="164" t="s">
        <v>41</v>
      </c>
      <c r="C40" s="165"/>
      <c r="D40" s="165"/>
      <c r="E40" s="165"/>
      <c r="F40" s="189"/>
      <c r="G40" s="26">
        <v>1</v>
      </c>
      <c r="H40" s="24">
        <v>450</v>
      </c>
      <c r="I40" s="24">
        <v>450</v>
      </c>
      <c r="J40" s="27">
        <v>240</v>
      </c>
      <c r="K40" s="19"/>
    </row>
    <row r="41" spans="1:11" ht="14.25" customHeight="1" x14ac:dyDescent="0.2">
      <c r="A41" s="22">
        <v>3</v>
      </c>
      <c r="B41" s="171" t="s">
        <v>42</v>
      </c>
      <c r="C41" s="165"/>
      <c r="D41" s="165"/>
      <c r="E41" s="165"/>
      <c r="F41" s="189"/>
      <c r="G41" s="26">
        <v>3</v>
      </c>
      <c r="H41" s="24">
        <v>400</v>
      </c>
      <c r="I41" s="24">
        <v>1200</v>
      </c>
      <c r="J41" s="27">
        <v>600</v>
      </c>
      <c r="K41" s="19"/>
    </row>
    <row r="42" spans="1:11" ht="24" customHeight="1" x14ac:dyDescent="0.2">
      <c r="A42" s="22">
        <v>4</v>
      </c>
      <c r="B42" s="164" t="s">
        <v>43</v>
      </c>
      <c r="C42" s="165"/>
      <c r="D42" s="165"/>
      <c r="E42" s="165"/>
      <c r="F42" s="189"/>
      <c r="G42" s="26">
        <v>4</v>
      </c>
      <c r="H42" s="24">
        <v>65</v>
      </c>
      <c r="I42" s="24">
        <v>260</v>
      </c>
      <c r="J42" s="27">
        <v>140</v>
      </c>
      <c r="K42" s="19"/>
    </row>
    <row r="43" spans="1:11" ht="14.25" customHeight="1" x14ac:dyDescent="0.2">
      <c r="A43" s="22"/>
      <c r="B43" s="34"/>
      <c r="C43" s="34"/>
      <c r="D43" s="34"/>
      <c r="E43" s="34"/>
      <c r="F43" s="36"/>
      <c r="G43" s="26"/>
      <c r="H43" s="24"/>
      <c r="I43" s="24"/>
      <c r="J43" s="27"/>
      <c r="K43" s="19"/>
    </row>
    <row r="44" spans="1:11" ht="14.25" customHeight="1" x14ac:dyDescent="0.2">
      <c r="A44" s="22"/>
      <c r="B44" s="34"/>
      <c r="C44" s="34"/>
      <c r="D44" s="34"/>
      <c r="E44" s="34"/>
      <c r="F44" s="36"/>
      <c r="G44" s="26"/>
      <c r="H44" s="24"/>
      <c r="I44" s="24"/>
      <c r="J44" s="27"/>
      <c r="K44" s="19"/>
    </row>
    <row r="45" spans="1:11" ht="14.25" customHeight="1" x14ac:dyDescent="0.2">
      <c r="A45" s="21" t="s">
        <v>16</v>
      </c>
      <c r="B45" s="188" t="s">
        <v>17</v>
      </c>
      <c r="C45" s="168"/>
      <c r="D45" s="168"/>
      <c r="E45" s="168"/>
      <c r="F45" s="169"/>
      <c r="G45" s="10" t="s">
        <v>18</v>
      </c>
      <c r="H45" s="10" t="s">
        <v>19</v>
      </c>
      <c r="I45" s="10" t="s">
        <v>20</v>
      </c>
      <c r="J45" s="27"/>
      <c r="K45" s="19"/>
    </row>
    <row r="46" spans="1:11" ht="14.25" customHeight="1" x14ac:dyDescent="0.2">
      <c r="A46" s="22"/>
      <c r="B46" s="164"/>
      <c r="C46" s="165"/>
      <c r="D46" s="165"/>
      <c r="E46" s="165"/>
      <c r="F46" s="189"/>
      <c r="G46" s="26"/>
      <c r="H46" s="24"/>
      <c r="I46" s="24"/>
      <c r="J46" s="27"/>
      <c r="K46" s="19"/>
    </row>
    <row r="47" spans="1:11" ht="14.25" customHeight="1" x14ac:dyDescent="0.2">
      <c r="A47" s="22"/>
      <c r="B47" s="190" t="s">
        <v>44</v>
      </c>
      <c r="C47" s="165"/>
      <c r="D47" s="165"/>
      <c r="E47" s="165"/>
      <c r="F47" s="189"/>
      <c r="G47" s="26"/>
      <c r="H47" s="24"/>
      <c r="I47" s="24"/>
      <c r="J47" s="27"/>
      <c r="K47" s="19"/>
    </row>
    <row r="48" spans="1:11" ht="14.25" customHeight="1" x14ac:dyDescent="0.2">
      <c r="A48" s="22"/>
      <c r="B48" s="164"/>
      <c r="C48" s="165"/>
      <c r="D48" s="165"/>
      <c r="E48" s="165"/>
      <c r="F48" s="189"/>
      <c r="G48" s="26"/>
      <c r="H48" s="24"/>
      <c r="I48" s="24"/>
      <c r="J48" s="27"/>
      <c r="K48" s="19"/>
    </row>
    <row r="49" spans="1:14" ht="14.25" customHeight="1" x14ac:dyDescent="0.2">
      <c r="A49" s="22">
        <v>1</v>
      </c>
      <c r="B49" s="164" t="s">
        <v>45</v>
      </c>
      <c r="C49" s="165"/>
      <c r="D49" s="165"/>
      <c r="E49" s="165"/>
      <c r="F49" s="189"/>
      <c r="G49" s="26">
        <v>1</v>
      </c>
      <c r="H49" s="24">
        <v>3599</v>
      </c>
      <c r="I49" s="24">
        <v>3599</v>
      </c>
      <c r="J49" s="27">
        <v>2996</v>
      </c>
      <c r="K49" s="19"/>
    </row>
    <row r="50" spans="1:14" ht="14.25" customHeight="1" x14ac:dyDescent="0.2">
      <c r="A50" s="22">
        <v>2</v>
      </c>
      <c r="B50" s="164" t="s">
        <v>46</v>
      </c>
      <c r="C50" s="165"/>
      <c r="D50" s="165"/>
      <c r="E50" s="165"/>
      <c r="F50" s="189"/>
      <c r="G50" s="26">
        <v>1</v>
      </c>
      <c r="H50" s="24">
        <v>859</v>
      </c>
      <c r="I50" s="24">
        <v>859</v>
      </c>
      <c r="J50" s="27">
        <v>500</v>
      </c>
      <c r="K50" s="19"/>
    </row>
    <row r="51" spans="1:14" ht="28.5" customHeight="1" x14ac:dyDescent="0.2">
      <c r="A51" s="22">
        <v>3</v>
      </c>
      <c r="B51" s="164" t="s">
        <v>47</v>
      </c>
      <c r="C51" s="165"/>
      <c r="D51" s="165"/>
      <c r="E51" s="165"/>
      <c r="F51" s="189"/>
      <c r="G51" s="26">
        <v>1</v>
      </c>
      <c r="H51" s="24">
        <v>350</v>
      </c>
      <c r="I51" s="24">
        <v>350</v>
      </c>
      <c r="J51" s="27">
        <v>150</v>
      </c>
      <c r="K51" s="19"/>
    </row>
    <row r="52" spans="1:14" ht="37.5" customHeight="1" x14ac:dyDescent="0.2">
      <c r="A52" s="22">
        <v>4</v>
      </c>
      <c r="B52" s="164" t="s">
        <v>48</v>
      </c>
      <c r="C52" s="165"/>
      <c r="D52" s="165"/>
      <c r="E52" s="165"/>
      <c r="F52" s="189"/>
      <c r="G52" s="26">
        <v>1</v>
      </c>
      <c r="H52" s="24">
        <v>150</v>
      </c>
      <c r="I52" s="24">
        <v>150</v>
      </c>
      <c r="J52" s="27">
        <v>100</v>
      </c>
      <c r="K52" s="19"/>
    </row>
    <row r="53" spans="1:14" ht="14.25" customHeight="1" x14ac:dyDescent="0.2">
      <c r="A53" s="22">
        <v>5</v>
      </c>
      <c r="B53" s="164" t="s">
        <v>49</v>
      </c>
      <c r="C53" s="165"/>
      <c r="D53" s="165"/>
      <c r="E53" s="165"/>
      <c r="F53" s="189"/>
      <c r="G53" s="26">
        <v>1</v>
      </c>
      <c r="H53" s="24">
        <v>200</v>
      </c>
      <c r="I53" s="24">
        <v>200</v>
      </c>
      <c r="J53" s="27">
        <v>100</v>
      </c>
      <c r="K53" s="19"/>
    </row>
    <row r="54" spans="1:14" ht="14.25" customHeight="1" x14ac:dyDescent="0.2">
      <c r="A54" s="22">
        <v>6</v>
      </c>
      <c r="B54" s="164" t="s">
        <v>40</v>
      </c>
      <c r="C54" s="165"/>
      <c r="D54" s="165"/>
      <c r="E54" s="165"/>
      <c r="F54" s="189"/>
      <c r="G54" s="26">
        <v>2</v>
      </c>
      <c r="H54" s="24">
        <v>4899</v>
      </c>
      <c r="I54" s="24">
        <v>9798</v>
      </c>
      <c r="J54" s="27">
        <v>7800</v>
      </c>
      <c r="K54" s="19"/>
    </row>
    <row r="55" spans="1:14" ht="26.25" customHeight="1" x14ac:dyDescent="0.2">
      <c r="A55" s="22">
        <v>7</v>
      </c>
      <c r="B55" s="164" t="s">
        <v>50</v>
      </c>
      <c r="C55" s="165"/>
      <c r="D55" s="165"/>
      <c r="E55" s="165"/>
      <c r="F55" s="189"/>
      <c r="G55" s="26">
        <v>2</v>
      </c>
      <c r="H55" s="24">
        <v>60</v>
      </c>
      <c r="I55" s="24">
        <v>120</v>
      </c>
      <c r="J55" s="27">
        <v>50</v>
      </c>
      <c r="K55" s="19"/>
    </row>
    <row r="56" spans="1:14" ht="22.5" customHeight="1" x14ac:dyDescent="0.2">
      <c r="A56" s="22">
        <v>8</v>
      </c>
      <c r="B56" s="164" t="s">
        <v>43</v>
      </c>
      <c r="C56" s="165"/>
      <c r="D56" s="165"/>
      <c r="E56" s="165"/>
      <c r="F56" s="189"/>
      <c r="G56" s="26">
        <v>4</v>
      </c>
      <c r="H56" s="24">
        <v>65</v>
      </c>
      <c r="I56" s="24">
        <v>260</v>
      </c>
      <c r="J56" s="27">
        <v>140</v>
      </c>
      <c r="K56" s="19"/>
    </row>
    <row r="57" spans="1:14" ht="14.25" customHeight="1" x14ac:dyDescent="0.2">
      <c r="A57" s="22"/>
      <c r="B57" s="164"/>
      <c r="C57" s="165"/>
      <c r="D57" s="165"/>
      <c r="E57" s="165"/>
      <c r="F57" s="189"/>
      <c r="G57" s="26"/>
      <c r="H57" s="24"/>
      <c r="I57" s="24"/>
      <c r="J57" s="27"/>
      <c r="K57" s="19"/>
    </row>
    <row r="58" spans="1:14" ht="14.25" customHeight="1" x14ac:dyDescent="0.2">
      <c r="A58" s="22"/>
      <c r="B58" s="34"/>
      <c r="C58" s="34"/>
      <c r="D58" s="34"/>
      <c r="E58" s="34"/>
      <c r="F58" s="36"/>
      <c r="G58" s="26"/>
      <c r="H58" s="24"/>
      <c r="I58" s="24"/>
      <c r="J58" s="27"/>
      <c r="K58" s="19"/>
    </row>
    <row r="59" spans="1:14" ht="14.25" customHeight="1" x14ac:dyDescent="0.2">
      <c r="A59" s="22"/>
      <c r="B59" s="190" t="s">
        <v>51</v>
      </c>
      <c r="C59" s="165"/>
      <c r="D59" s="165"/>
      <c r="E59" s="165"/>
      <c r="F59" s="189"/>
      <c r="G59" s="26"/>
      <c r="H59" s="24"/>
      <c r="I59" s="24"/>
      <c r="J59" s="27"/>
      <c r="K59" s="19"/>
    </row>
    <row r="60" spans="1:14" ht="14.25" customHeight="1" x14ac:dyDescent="0.2">
      <c r="A60" s="22"/>
      <c r="B60" s="164"/>
      <c r="C60" s="165"/>
      <c r="D60" s="165"/>
      <c r="E60" s="165"/>
      <c r="F60" s="189"/>
      <c r="G60" s="26"/>
      <c r="H60" s="24"/>
      <c r="I60" s="24"/>
      <c r="J60" s="27"/>
      <c r="K60" s="19"/>
    </row>
    <row r="61" spans="1:14" ht="76.5" customHeight="1" x14ac:dyDescent="0.2">
      <c r="A61" s="22">
        <v>1</v>
      </c>
      <c r="B61" s="171" t="s">
        <v>52</v>
      </c>
      <c r="C61" s="165"/>
      <c r="D61" s="165"/>
      <c r="E61" s="165"/>
      <c r="F61" s="189"/>
      <c r="G61" s="26">
        <v>1</v>
      </c>
      <c r="H61" s="37">
        <v>4985</v>
      </c>
      <c r="I61" s="37">
        <v>4985</v>
      </c>
      <c r="J61" s="33">
        <v>4600</v>
      </c>
      <c r="K61" s="19"/>
    </row>
    <row r="62" spans="1:14" ht="26.25" customHeight="1" x14ac:dyDescent="0.2">
      <c r="A62" s="22">
        <v>2</v>
      </c>
      <c r="B62" s="164" t="s">
        <v>53</v>
      </c>
      <c r="C62" s="165"/>
      <c r="D62" s="165"/>
      <c r="E62" s="165"/>
      <c r="F62" s="189"/>
      <c r="G62" s="26">
        <v>1</v>
      </c>
      <c r="H62" s="24">
        <v>400</v>
      </c>
      <c r="I62" s="24">
        <v>400</v>
      </c>
      <c r="J62" s="27">
        <v>400</v>
      </c>
      <c r="K62" s="19"/>
      <c r="L62" s="38" t="s">
        <v>54</v>
      </c>
      <c r="M62" s="39" t="s">
        <v>55</v>
      </c>
      <c r="N62" s="40" t="s">
        <v>56</v>
      </c>
    </row>
    <row r="63" spans="1:14" ht="15" customHeight="1" x14ac:dyDescent="0.2">
      <c r="A63" s="22"/>
      <c r="B63" s="166"/>
      <c r="C63" s="165"/>
      <c r="D63" s="165"/>
      <c r="E63" s="165"/>
      <c r="F63" s="189"/>
      <c r="G63" s="26"/>
      <c r="H63" s="24"/>
      <c r="I63" s="24"/>
      <c r="J63" s="27"/>
      <c r="K63" s="19"/>
      <c r="L63" s="41">
        <f>I72</f>
        <v>49780</v>
      </c>
      <c r="M63" s="42">
        <f>SUM(J16:J68)</f>
        <v>37759</v>
      </c>
      <c r="N63" s="43">
        <f>L63-M63</f>
        <v>12021</v>
      </c>
    </row>
    <row r="64" spans="1:14" ht="14.25" customHeight="1" x14ac:dyDescent="0.2">
      <c r="A64" s="22"/>
      <c r="B64" s="190" t="s">
        <v>57</v>
      </c>
      <c r="C64" s="165"/>
      <c r="D64" s="165"/>
      <c r="E64" s="165"/>
      <c r="F64" s="189"/>
      <c r="G64" s="26"/>
      <c r="H64" s="33"/>
      <c r="I64" s="44"/>
      <c r="J64" s="27"/>
      <c r="K64" s="19"/>
    </row>
    <row r="65" spans="1:26" ht="14.25" customHeight="1" x14ac:dyDescent="0.2">
      <c r="A65" s="22"/>
      <c r="B65" s="25"/>
      <c r="C65" s="35"/>
      <c r="D65" s="35"/>
      <c r="E65" s="35"/>
      <c r="F65" s="45"/>
      <c r="G65" s="26"/>
      <c r="H65" s="33"/>
      <c r="I65" s="44"/>
      <c r="J65" s="27"/>
      <c r="K65" s="19"/>
    </row>
    <row r="66" spans="1:26" ht="14.25" customHeight="1" x14ac:dyDescent="0.2">
      <c r="A66" s="22">
        <v>1</v>
      </c>
      <c r="B66" s="171" t="s">
        <v>58</v>
      </c>
      <c r="C66" s="165"/>
      <c r="D66" s="165"/>
      <c r="E66" s="165"/>
      <c r="F66" s="189"/>
      <c r="G66" s="26">
        <v>1</v>
      </c>
      <c r="H66" s="33">
        <v>800</v>
      </c>
      <c r="I66" s="44">
        <v>800</v>
      </c>
      <c r="J66" s="27">
        <v>400</v>
      </c>
      <c r="K66" s="19"/>
    </row>
    <row r="67" spans="1:26" ht="14.25" customHeight="1" x14ac:dyDescent="0.2">
      <c r="A67" s="22">
        <v>2</v>
      </c>
      <c r="B67" s="171" t="s">
        <v>59</v>
      </c>
      <c r="C67" s="165"/>
      <c r="D67" s="165"/>
      <c r="E67" s="165"/>
      <c r="F67" s="189"/>
      <c r="G67" s="26">
        <v>1</v>
      </c>
      <c r="H67" s="33">
        <v>300</v>
      </c>
      <c r="I67" s="44">
        <v>300</v>
      </c>
      <c r="J67" s="46">
        <v>150</v>
      </c>
      <c r="K67" s="27"/>
    </row>
    <row r="68" spans="1:26" ht="25.5" customHeight="1" x14ac:dyDescent="0.2">
      <c r="A68" s="22">
        <v>3</v>
      </c>
      <c r="B68" s="171" t="s">
        <v>60</v>
      </c>
      <c r="C68" s="165"/>
      <c r="D68" s="165"/>
      <c r="E68" s="165"/>
      <c r="F68" s="189"/>
      <c r="G68" s="26">
        <v>1</v>
      </c>
      <c r="H68" s="33">
        <v>200</v>
      </c>
      <c r="I68" s="44">
        <v>200</v>
      </c>
      <c r="J68" s="27">
        <v>100</v>
      </c>
      <c r="K68" s="19"/>
    </row>
    <row r="69" spans="1:26" ht="25.5" customHeight="1" x14ac:dyDescent="0.2">
      <c r="A69" s="47"/>
      <c r="B69" s="20"/>
      <c r="C69" s="20"/>
      <c r="D69" s="20"/>
      <c r="E69" s="20"/>
      <c r="F69" s="48"/>
      <c r="G69" s="49"/>
      <c r="H69" s="50"/>
      <c r="I69" s="51"/>
      <c r="J69" s="27"/>
      <c r="K69" s="19"/>
    </row>
    <row r="70" spans="1:26" ht="27.75" customHeight="1" x14ac:dyDescent="0.2">
      <c r="A70" s="52"/>
      <c r="B70" s="167" t="s">
        <v>61</v>
      </c>
      <c r="C70" s="168"/>
      <c r="D70" s="168"/>
      <c r="E70" s="168"/>
      <c r="F70" s="169"/>
      <c r="G70" s="170" t="s">
        <v>62</v>
      </c>
      <c r="H70" s="168"/>
      <c r="I70" s="53">
        <f>SUM(I15:I68)</f>
        <v>49780</v>
      </c>
      <c r="J70" s="54"/>
      <c r="K70" s="12" t="s">
        <v>63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24" customHeight="1" x14ac:dyDescent="0.2">
      <c r="A71" s="14"/>
      <c r="B71" s="7"/>
      <c r="C71" s="7"/>
      <c r="D71" s="7"/>
      <c r="E71" s="7"/>
      <c r="F71" s="7"/>
      <c r="G71" s="170" t="s">
        <v>64</v>
      </c>
      <c r="H71" s="168"/>
      <c r="I71" s="53">
        <v>0</v>
      </c>
      <c r="K71" s="12" t="s">
        <v>65</v>
      </c>
    </row>
    <row r="72" spans="1:26" ht="24" customHeight="1" x14ac:dyDescent="0.2">
      <c r="A72" s="14"/>
      <c r="B72" s="7"/>
      <c r="C72" s="7"/>
      <c r="D72" s="7"/>
      <c r="E72" s="7"/>
      <c r="F72" s="7"/>
      <c r="G72" s="162" t="s">
        <v>66</v>
      </c>
      <c r="H72" s="163"/>
      <c r="I72" s="55">
        <f>I70+I71</f>
        <v>49780</v>
      </c>
    </row>
    <row r="73" spans="1:26" ht="24" customHeight="1" x14ac:dyDescent="0.2">
      <c r="A73" s="14"/>
      <c r="B73" s="7"/>
      <c r="C73" s="7"/>
      <c r="D73" s="7"/>
      <c r="E73" s="7"/>
      <c r="F73" s="7"/>
      <c r="G73" s="56"/>
      <c r="H73" s="56"/>
      <c r="I73" s="57"/>
    </row>
    <row r="74" spans="1:26" ht="14.25" customHeight="1" x14ac:dyDescent="0.2">
      <c r="A74" s="14"/>
      <c r="B74" s="171" t="s">
        <v>67</v>
      </c>
      <c r="C74" s="165"/>
      <c r="D74" s="165"/>
      <c r="E74" s="165"/>
      <c r="F74" s="165"/>
      <c r="G74" s="165"/>
      <c r="H74" s="165"/>
      <c r="I74" s="165"/>
      <c r="K74" s="12" t="s">
        <v>68</v>
      </c>
    </row>
    <row r="75" spans="1:26" ht="14.25" customHeight="1" x14ac:dyDescent="0.2">
      <c r="A75" s="14"/>
      <c r="B75" s="165"/>
      <c r="C75" s="165"/>
      <c r="D75" s="165"/>
      <c r="E75" s="165"/>
      <c r="F75" s="165"/>
      <c r="G75" s="165"/>
      <c r="H75" s="165"/>
      <c r="I75" s="165"/>
      <c r="K75" s="12"/>
    </row>
    <row r="76" spans="1:26" ht="14.25" customHeight="1" x14ac:dyDescent="0.2">
      <c r="A76" s="14"/>
      <c r="B76" s="46" t="s">
        <v>69</v>
      </c>
    </row>
    <row r="77" spans="1:26" ht="14.25" customHeight="1" x14ac:dyDescent="0.2">
      <c r="A77" s="14"/>
      <c r="B77" s="20"/>
      <c r="C77" s="20"/>
      <c r="D77" s="20"/>
      <c r="E77" s="20"/>
      <c r="F77" s="20"/>
      <c r="G77" s="20"/>
      <c r="H77" s="20"/>
      <c r="I77" s="20"/>
    </row>
    <row r="78" spans="1:26" ht="14.25" customHeight="1" x14ac:dyDescent="0.2">
      <c r="A78" s="14"/>
      <c r="B78" s="58"/>
    </row>
    <row r="79" spans="1:26" ht="116.25" customHeight="1" x14ac:dyDescent="0.2">
      <c r="A79" s="14"/>
      <c r="B79" s="7"/>
      <c r="C79" s="7"/>
      <c r="D79" s="7"/>
      <c r="E79" s="7"/>
      <c r="F79" s="7"/>
      <c r="G79" s="164" t="s">
        <v>70</v>
      </c>
      <c r="H79" s="165"/>
      <c r="I79" s="165"/>
    </row>
    <row r="80" spans="1:26" ht="14.25" customHeight="1" x14ac:dyDescent="0.2">
      <c r="A80" s="14"/>
      <c r="B80" s="7"/>
      <c r="C80" s="7"/>
      <c r="D80" s="7"/>
      <c r="E80" s="7"/>
      <c r="F80" s="7"/>
      <c r="G80" s="165"/>
      <c r="H80" s="165"/>
      <c r="I80" s="165"/>
      <c r="K80" s="12" t="s">
        <v>71</v>
      </c>
    </row>
    <row r="81" spans="1:11" ht="14.25" customHeight="1" x14ac:dyDescent="0.2">
      <c r="A81" s="14"/>
      <c r="B81" s="59"/>
      <c r="C81" s="59"/>
      <c r="D81" s="59"/>
      <c r="E81" s="59"/>
      <c r="F81" s="59"/>
      <c r="G81" s="59"/>
      <c r="H81" s="59"/>
      <c r="I81" s="59"/>
      <c r="K81" s="12"/>
    </row>
    <row r="82" spans="1:11" ht="14.25" customHeight="1" x14ac:dyDescent="0.2">
      <c r="A82" s="14"/>
    </row>
    <row r="83" spans="1:11" ht="14.25" customHeight="1" x14ac:dyDescent="0.2">
      <c r="A83" s="14"/>
    </row>
    <row r="84" spans="1:11" ht="14.25" customHeight="1" x14ac:dyDescent="0.2">
      <c r="A84" s="14"/>
    </row>
    <row r="85" spans="1:11" ht="14.25" customHeight="1" x14ac:dyDescent="0.2">
      <c r="A85" s="14"/>
    </row>
    <row r="86" spans="1:11" ht="14.25" customHeight="1" x14ac:dyDescent="0.2">
      <c r="A86" s="14"/>
    </row>
    <row r="87" spans="1:11" ht="14.25" customHeight="1" x14ac:dyDescent="0.2">
      <c r="A87" s="14"/>
    </row>
    <row r="88" spans="1:11" ht="14.25" customHeight="1" x14ac:dyDescent="0.2">
      <c r="A88" s="14"/>
    </row>
    <row r="89" spans="1:11" ht="14.25" customHeight="1" x14ac:dyDescent="0.2">
      <c r="A89" s="14"/>
    </row>
    <row r="90" spans="1:11" ht="14.25" customHeight="1" x14ac:dyDescent="0.2">
      <c r="A90" s="14"/>
    </row>
    <row r="91" spans="1:11" ht="14.25" customHeight="1" x14ac:dyDescent="0.2">
      <c r="A91" s="14"/>
    </row>
    <row r="92" spans="1:11" ht="14.25" customHeight="1" x14ac:dyDescent="0.2">
      <c r="A92" s="14"/>
    </row>
    <row r="93" spans="1:11" ht="14.25" customHeight="1" x14ac:dyDescent="0.2">
      <c r="A93" s="14"/>
    </row>
    <row r="94" spans="1:11" ht="14.25" customHeight="1" x14ac:dyDescent="0.2">
      <c r="A94" s="14"/>
    </row>
    <row r="95" spans="1:11" ht="14.25" customHeight="1" x14ac:dyDescent="0.2">
      <c r="A95" s="14"/>
    </row>
    <row r="96" spans="1:1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67">
    <mergeCell ref="B50:F50"/>
    <mergeCell ref="B51:F51"/>
    <mergeCell ref="B52:F52"/>
    <mergeCell ref="B53:F53"/>
    <mergeCell ref="B54:F54"/>
    <mergeCell ref="B55:F55"/>
    <mergeCell ref="B56:F56"/>
    <mergeCell ref="B57:F57"/>
    <mergeCell ref="B59:F59"/>
    <mergeCell ref="B60:F60"/>
    <mergeCell ref="B61:F61"/>
    <mergeCell ref="B62:F62"/>
    <mergeCell ref="B63:F63"/>
    <mergeCell ref="B64:F64"/>
    <mergeCell ref="G72:H72"/>
    <mergeCell ref="G79:I80"/>
    <mergeCell ref="B66:F66"/>
    <mergeCell ref="B67:F67"/>
    <mergeCell ref="B68:F68"/>
    <mergeCell ref="B70:F70"/>
    <mergeCell ref="G70:H70"/>
    <mergeCell ref="G71:H71"/>
    <mergeCell ref="B74:I75"/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5:F45"/>
    <mergeCell ref="B46:F46"/>
    <mergeCell ref="B47:F47"/>
    <mergeCell ref="B48:F48"/>
    <mergeCell ref="B49:F49"/>
  </mergeCells>
  <hyperlinks>
    <hyperlink ref="K3" r:id="rId1" xr:uid="{00000000-0004-0000-00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7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3815</v>
      </c>
      <c r="H5" s="182"/>
      <c r="I5" s="11">
        <v>45568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72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73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21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11" ht="14.25" customHeight="1" x14ac:dyDescent="0.2">
      <c r="A17" s="22"/>
      <c r="B17" s="28"/>
      <c r="C17" s="28"/>
      <c r="D17" s="28"/>
      <c r="E17" s="28"/>
      <c r="F17" s="29"/>
      <c r="G17" s="26"/>
      <c r="H17" s="24"/>
      <c r="I17" s="24"/>
      <c r="J17" s="27"/>
      <c r="K17" s="19"/>
    </row>
    <row r="18" spans="1:11" ht="14.25" customHeight="1" x14ac:dyDescent="0.2">
      <c r="A18" s="22"/>
      <c r="B18" s="192" t="s">
        <v>22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11" ht="14.25" customHeight="1" x14ac:dyDescent="0.2">
      <c r="A19" s="22"/>
      <c r="B19" s="30"/>
      <c r="C19" s="30"/>
      <c r="D19" s="30"/>
      <c r="E19" s="30"/>
      <c r="F19" s="31"/>
      <c r="G19" s="26"/>
      <c r="H19" s="24"/>
      <c r="I19" s="24"/>
      <c r="J19" s="27"/>
      <c r="K19" s="19"/>
    </row>
    <row r="20" spans="1:11" ht="39" customHeight="1" x14ac:dyDescent="0.2">
      <c r="A20" s="22">
        <v>1</v>
      </c>
      <c r="B20" s="171" t="s">
        <v>74</v>
      </c>
      <c r="C20" s="165"/>
      <c r="D20" s="165"/>
      <c r="E20" s="165"/>
      <c r="F20" s="189"/>
      <c r="G20" s="32">
        <v>1</v>
      </c>
      <c r="H20" s="33">
        <v>290</v>
      </c>
      <c r="I20" s="33">
        <v>290</v>
      </c>
      <c r="J20" s="27">
        <v>150</v>
      </c>
      <c r="K20" s="19"/>
    </row>
    <row r="21" spans="1:11" ht="14.25" customHeight="1" x14ac:dyDescent="0.2">
      <c r="A21" s="22">
        <v>2</v>
      </c>
      <c r="B21" s="171" t="s">
        <v>24</v>
      </c>
      <c r="C21" s="165"/>
      <c r="D21" s="165"/>
      <c r="E21" s="165"/>
      <c r="F21" s="189"/>
      <c r="G21" s="32">
        <v>1</v>
      </c>
      <c r="H21" s="33">
        <v>480</v>
      </c>
      <c r="I21" s="33">
        <v>480</v>
      </c>
      <c r="J21" s="27">
        <v>290</v>
      </c>
      <c r="K21" s="19"/>
    </row>
    <row r="22" spans="1:11" ht="14.25" customHeight="1" x14ac:dyDescent="0.2">
      <c r="A22" s="22">
        <v>3</v>
      </c>
      <c r="B22" s="171" t="s">
        <v>25</v>
      </c>
      <c r="C22" s="165"/>
      <c r="D22" s="165"/>
      <c r="E22" s="165"/>
      <c r="F22" s="189"/>
      <c r="G22" s="32">
        <v>1</v>
      </c>
      <c r="H22" s="33">
        <v>490</v>
      </c>
      <c r="I22" s="33">
        <v>490</v>
      </c>
      <c r="J22" s="27">
        <v>250</v>
      </c>
      <c r="K22" s="19" t="s">
        <v>26</v>
      </c>
    </row>
    <row r="23" spans="1:11" ht="14.25" customHeight="1" x14ac:dyDescent="0.2">
      <c r="A23" s="22">
        <v>4</v>
      </c>
      <c r="B23" s="171" t="s">
        <v>27</v>
      </c>
      <c r="C23" s="165"/>
      <c r="D23" s="165"/>
      <c r="E23" s="165"/>
      <c r="F23" s="189"/>
      <c r="G23" s="32">
        <v>5</v>
      </c>
      <c r="H23" s="33">
        <v>190</v>
      </c>
      <c r="I23" s="33">
        <v>950</v>
      </c>
      <c r="J23" s="27">
        <v>400</v>
      </c>
      <c r="K23" s="19"/>
    </row>
    <row r="24" spans="1:11" ht="39.75" customHeight="1" x14ac:dyDescent="0.2">
      <c r="A24" s="22">
        <v>5</v>
      </c>
      <c r="B24" s="171" t="s">
        <v>75</v>
      </c>
      <c r="C24" s="165"/>
      <c r="D24" s="165"/>
      <c r="E24" s="165"/>
      <c r="F24" s="189"/>
      <c r="G24" s="32">
        <v>1</v>
      </c>
      <c r="H24" s="33">
        <v>290</v>
      </c>
      <c r="I24" s="33">
        <v>290</v>
      </c>
      <c r="J24" s="27">
        <v>150</v>
      </c>
      <c r="K24" s="19"/>
    </row>
    <row r="25" spans="1:11" ht="14.25" customHeight="1" x14ac:dyDescent="0.2">
      <c r="A25" s="22">
        <v>6</v>
      </c>
      <c r="B25" s="164" t="s">
        <v>29</v>
      </c>
      <c r="C25" s="165"/>
      <c r="D25" s="165"/>
      <c r="E25" s="165"/>
      <c r="F25" s="189"/>
      <c r="G25" s="26">
        <v>1</v>
      </c>
      <c r="H25" s="24">
        <v>150</v>
      </c>
      <c r="I25" s="24">
        <v>150</v>
      </c>
      <c r="J25" s="27">
        <v>100</v>
      </c>
      <c r="K25" s="19"/>
    </row>
    <row r="26" spans="1:11" ht="14.25" customHeight="1" x14ac:dyDescent="0.2">
      <c r="A26" s="22">
        <v>7</v>
      </c>
      <c r="B26" s="164" t="s">
        <v>30</v>
      </c>
      <c r="C26" s="165"/>
      <c r="D26" s="165"/>
      <c r="E26" s="165"/>
      <c r="F26" s="189"/>
      <c r="G26" s="26">
        <v>1</v>
      </c>
      <c r="H26" s="24">
        <v>429</v>
      </c>
      <c r="I26" s="24">
        <v>429</v>
      </c>
      <c r="J26" s="27">
        <v>325</v>
      </c>
      <c r="K26" s="19"/>
    </row>
    <row r="27" spans="1:11" ht="14.25" customHeight="1" x14ac:dyDescent="0.2">
      <c r="A27" s="22">
        <v>8</v>
      </c>
      <c r="B27" s="164" t="s">
        <v>31</v>
      </c>
      <c r="C27" s="165"/>
      <c r="D27" s="165"/>
      <c r="E27" s="165"/>
      <c r="F27" s="189"/>
      <c r="G27" s="26">
        <v>1</v>
      </c>
      <c r="H27" s="24">
        <v>480</v>
      </c>
      <c r="I27" s="24">
        <v>480</v>
      </c>
      <c r="J27" s="27">
        <v>240</v>
      </c>
      <c r="K27" s="19"/>
    </row>
    <row r="28" spans="1:11" ht="14.25" customHeight="1" x14ac:dyDescent="0.2">
      <c r="A28" s="22">
        <v>9</v>
      </c>
      <c r="B28" s="164" t="s">
        <v>32</v>
      </c>
      <c r="C28" s="165"/>
      <c r="D28" s="165"/>
      <c r="E28" s="165"/>
      <c r="F28" s="189"/>
      <c r="G28" s="26">
        <v>1</v>
      </c>
      <c r="H28" s="24">
        <v>659</v>
      </c>
      <c r="I28" s="24">
        <v>659</v>
      </c>
      <c r="J28" s="27">
        <v>455</v>
      </c>
      <c r="K28" s="19"/>
    </row>
    <row r="29" spans="1:11" ht="14.25" customHeight="1" x14ac:dyDescent="0.2">
      <c r="A29" s="22">
        <v>10</v>
      </c>
      <c r="B29" s="164" t="s">
        <v>33</v>
      </c>
      <c r="C29" s="165"/>
      <c r="D29" s="165"/>
      <c r="E29" s="165"/>
      <c r="F29" s="189"/>
      <c r="G29" s="26">
        <v>1</v>
      </c>
      <c r="H29" s="24">
        <v>349</v>
      </c>
      <c r="I29" s="24">
        <v>349</v>
      </c>
      <c r="J29" s="27">
        <v>295</v>
      </c>
      <c r="K29" s="19"/>
    </row>
    <row r="30" spans="1:11" ht="14.25" customHeight="1" x14ac:dyDescent="0.2">
      <c r="A30" s="22">
        <v>11</v>
      </c>
      <c r="B30" s="164" t="s">
        <v>34</v>
      </c>
      <c r="C30" s="165"/>
      <c r="D30" s="165"/>
      <c r="E30" s="165"/>
      <c r="F30" s="189"/>
      <c r="G30" s="26">
        <v>1</v>
      </c>
      <c r="H30" s="24">
        <v>599</v>
      </c>
      <c r="I30" s="24">
        <v>599</v>
      </c>
      <c r="J30" s="27">
        <v>459</v>
      </c>
      <c r="K30" s="19"/>
    </row>
    <row r="31" spans="1:11" ht="27.75" customHeight="1" x14ac:dyDescent="0.2">
      <c r="A31" s="22">
        <v>12</v>
      </c>
      <c r="B31" s="164" t="s">
        <v>35</v>
      </c>
      <c r="C31" s="165"/>
      <c r="D31" s="165"/>
      <c r="E31" s="165"/>
      <c r="F31" s="189"/>
      <c r="G31" s="26">
        <v>1</v>
      </c>
      <c r="H31" s="24">
        <v>299</v>
      </c>
      <c r="I31" s="24">
        <v>299</v>
      </c>
      <c r="J31" s="27">
        <v>130</v>
      </c>
      <c r="K31" s="19"/>
    </row>
    <row r="32" spans="1:11" ht="14.25" customHeight="1" x14ac:dyDescent="0.2">
      <c r="A32" s="22">
        <v>13</v>
      </c>
      <c r="B32" s="164" t="s">
        <v>36</v>
      </c>
      <c r="C32" s="165"/>
      <c r="D32" s="165"/>
      <c r="E32" s="165"/>
      <c r="F32" s="189"/>
      <c r="G32" s="26">
        <v>1</v>
      </c>
      <c r="H32" s="24">
        <v>99</v>
      </c>
      <c r="I32" s="24">
        <v>99</v>
      </c>
      <c r="J32" s="27">
        <v>60</v>
      </c>
      <c r="K32" s="19"/>
    </row>
    <row r="33" spans="1:11" ht="14.25" customHeight="1" x14ac:dyDescent="0.2">
      <c r="A33" s="22">
        <v>14</v>
      </c>
      <c r="B33" s="164" t="s">
        <v>37</v>
      </c>
      <c r="C33" s="165"/>
      <c r="D33" s="165"/>
      <c r="E33" s="165"/>
      <c r="F33" s="189"/>
      <c r="G33" s="26">
        <v>1</v>
      </c>
      <c r="H33" s="24">
        <v>289</v>
      </c>
      <c r="I33" s="24">
        <v>289</v>
      </c>
      <c r="J33" s="27">
        <v>189</v>
      </c>
      <c r="K33" s="19"/>
    </row>
    <row r="34" spans="1:11" ht="14.25" customHeight="1" x14ac:dyDescent="0.2">
      <c r="A34" s="22">
        <v>15</v>
      </c>
      <c r="B34" s="164" t="s">
        <v>38</v>
      </c>
      <c r="C34" s="165"/>
      <c r="D34" s="165"/>
      <c r="E34" s="165"/>
      <c r="F34" s="189"/>
      <c r="G34" s="26">
        <v>1</v>
      </c>
      <c r="H34" s="24">
        <v>400</v>
      </c>
      <c r="I34" s="24">
        <v>400</v>
      </c>
      <c r="J34" s="27">
        <v>200</v>
      </c>
      <c r="K34" s="19"/>
    </row>
    <row r="35" spans="1:11" ht="14.25" customHeight="1" x14ac:dyDescent="0.2">
      <c r="A35" s="22"/>
      <c r="B35" s="164"/>
      <c r="C35" s="165"/>
      <c r="D35" s="165"/>
      <c r="E35" s="165"/>
      <c r="F35" s="189"/>
      <c r="G35" s="26"/>
      <c r="H35" s="24"/>
      <c r="I35" s="24"/>
      <c r="J35" s="27"/>
      <c r="K35" s="19"/>
    </row>
    <row r="36" spans="1:11" ht="14.25" customHeight="1" x14ac:dyDescent="0.2">
      <c r="A36" s="22"/>
      <c r="B36" s="164"/>
      <c r="C36" s="165"/>
      <c r="D36" s="165"/>
      <c r="E36" s="165"/>
      <c r="F36" s="189"/>
      <c r="G36" s="26"/>
      <c r="H36" s="24"/>
      <c r="I36" s="24"/>
      <c r="J36" s="27"/>
      <c r="K36" s="19"/>
    </row>
    <row r="37" spans="1:11" ht="14.25" customHeight="1" x14ac:dyDescent="0.2">
      <c r="A37" s="22"/>
      <c r="B37" s="190" t="s">
        <v>39</v>
      </c>
      <c r="C37" s="165"/>
      <c r="D37" s="165"/>
      <c r="E37" s="165"/>
      <c r="F37" s="189"/>
      <c r="G37" s="26"/>
      <c r="H37" s="24"/>
      <c r="I37" s="24"/>
      <c r="J37" s="27"/>
      <c r="K37" s="19"/>
    </row>
    <row r="38" spans="1:11" ht="14.25" customHeight="1" x14ac:dyDescent="0.2">
      <c r="A38" s="22"/>
      <c r="B38" s="166"/>
      <c r="C38" s="165"/>
      <c r="D38" s="165"/>
      <c r="E38" s="165"/>
      <c r="F38" s="189"/>
      <c r="G38" s="26"/>
      <c r="H38" s="24"/>
      <c r="I38" s="24"/>
      <c r="J38" s="27"/>
      <c r="K38" s="19"/>
    </row>
    <row r="39" spans="1:11" ht="14.25" customHeight="1" x14ac:dyDescent="0.2">
      <c r="A39" s="22">
        <v>1</v>
      </c>
      <c r="B39" s="171" t="s">
        <v>76</v>
      </c>
      <c r="C39" s="165"/>
      <c r="D39" s="165"/>
      <c r="E39" s="165"/>
      <c r="F39" s="189"/>
      <c r="G39" s="26">
        <v>4</v>
      </c>
      <c r="H39" s="24">
        <v>3499</v>
      </c>
      <c r="I39" s="24">
        <f>SUM(H39*G39)</f>
        <v>13996</v>
      </c>
      <c r="J39" s="27">
        <v>10200</v>
      </c>
      <c r="K39" s="19"/>
    </row>
    <row r="40" spans="1:11" ht="14.25" customHeight="1" x14ac:dyDescent="0.2">
      <c r="A40" s="22">
        <v>2</v>
      </c>
      <c r="B40" s="164" t="s">
        <v>41</v>
      </c>
      <c r="C40" s="165"/>
      <c r="D40" s="165"/>
      <c r="E40" s="165"/>
      <c r="F40" s="189"/>
      <c r="G40" s="26">
        <v>1</v>
      </c>
      <c r="H40" s="24">
        <v>450</v>
      </c>
      <c r="I40" s="24">
        <v>450</v>
      </c>
      <c r="J40" s="27">
        <v>240</v>
      </c>
      <c r="K40" s="19"/>
    </row>
    <row r="41" spans="1:11" ht="14.25" customHeight="1" x14ac:dyDescent="0.2">
      <c r="A41" s="22">
        <v>3</v>
      </c>
      <c r="B41" s="171" t="s">
        <v>42</v>
      </c>
      <c r="C41" s="165"/>
      <c r="D41" s="165"/>
      <c r="E41" s="165"/>
      <c r="F41" s="189"/>
      <c r="G41" s="26">
        <v>3</v>
      </c>
      <c r="H41" s="24">
        <v>400</v>
      </c>
      <c r="I41" s="24">
        <v>1200</v>
      </c>
      <c r="J41" s="27">
        <v>600</v>
      </c>
      <c r="K41" s="19"/>
    </row>
    <row r="42" spans="1:11" ht="24" customHeight="1" x14ac:dyDescent="0.2">
      <c r="A42" s="22">
        <v>4</v>
      </c>
      <c r="B42" s="164" t="s">
        <v>43</v>
      </c>
      <c r="C42" s="165"/>
      <c r="D42" s="165"/>
      <c r="E42" s="165"/>
      <c r="F42" s="189"/>
      <c r="G42" s="26">
        <v>4</v>
      </c>
      <c r="H42" s="24">
        <v>65</v>
      </c>
      <c r="I42" s="24">
        <v>260</v>
      </c>
      <c r="J42" s="27">
        <v>140</v>
      </c>
      <c r="K42" s="19"/>
    </row>
    <row r="43" spans="1:11" ht="14.25" customHeight="1" x14ac:dyDescent="0.2">
      <c r="A43" s="22"/>
      <c r="B43" s="34"/>
      <c r="C43" s="34"/>
      <c r="D43" s="34"/>
      <c r="E43" s="34"/>
      <c r="F43" s="36"/>
      <c r="G43" s="26"/>
      <c r="H43" s="24"/>
      <c r="I43" s="24"/>
      <c r="J43" s="27"/>
      <c r="K43" s="19"/>
    </row>
    <row r="44" spans="1:11" ht="14.25" customHeight="1" x14ac:dyDescent="0.2">
      <c r="A44" s="22"/>
      <c r="B44" s="34"/>
      <c r="C44" s="34"/>
      <c r="D44" s="34"/>
      <c r="E44" s="34"/>
      <c r="F44" s="36"/>
      <c r="G44" s="26"/>
      <c r="H44" s="24"/>
      <c r="I44" s="24"/>
      <c r="J44" s="27"/>
      <c r="K44" s="19"/>
    </row>
    <row r="45" spans="1:11" ht="14.25" customHeight="1" x14ac:dyDescent="0.2">
      <c r="A45" s="21" t="s">
        <v>16</v>
      </c>
      <c r="B45" s="188" t="s">
        <v>17</v>
      </c>
      <c r="C45" s="168"/>
      <c r="D45" s="168"/>
      <c r="E45" s="168"/>
      <c r="F45" s="169"/>
      <c r="G45" s="10" t="s">
        <v>18</v>
      </c>
      <c r="H45" s="10" t="s">
        <v>19</v>
      </c>
      <c r="I45" s="10" t="s">
        <v>20</v>
      </c>
      <c r="J45" s="27"/>
      <c r="K45" s="19"/>
    </row>
    <row r="46" spans="1:11" ht="14.25" customHeight="1" x14ac:dyDescent="0.2">
      <c r="A46" s="22"/>
      <c r="B46" s="164"/>
      <c r="C46" s="165"/>
      <c r="D46" s="165"/>
      <c r="E46" s="165"/>
      <c r="F46" s="189"/>
      <c r="G46" s="26"/>
      <c r="H46" s="24"/>
      <c r="I46" s="24"/>
      <c r="J46" s="27"/>
      <c r="K46" s="19"/>
    </row>
    <row r="47" spans="1:11" ht="14.25" customHeight="1" x14ac:dyDescent="0.2">
      <c r="A47" s="22"/>
      <c r="B47" s="190" t="s">
        <v>44</v>
      </c>
      <c r="C47" s="165"/>
      <c r="D47" s="165"/>
      <c r="E47" s="165"/>
      <c r="F47" s="189"/>
      <c r="G47" s="26"/>
      <c r="H47" s="24"/>
      <c r="I47" s="24"/>
      <c r="J47" s="27"/>
      <c r="K47" s="19"/>
    </row>
    <row r="48" spans="1:11" ht="14.25" customHeight="1" x14ac:dyDescent="0.2">
      <c r="A48" s="22"/>
      <c r="B48" s="164"/>
      <c r="C48" s="165"/>
      <c r="D48" s="165"/>
      <c r="E48" s="165"/>
      <c r="F48" s="189"/>
      <c r="G48" s="26"/>
      <c r="H48" s="24"/>
      <c r="I48" s="24"/>
      <c r="J48" s="27"/>
      <c r="K48" s="19"/>
    </row>
    <row r="49" spans="1:14" ht="14.25" customHeight="1" x14ac:dyDescent="0.2">
      <c r="A49" s="22">
        <v>1</v>
      </c>
      <c r="B49" s="164" t="s">
        <v>45</v>
      </c>
      <c r="C49" s="165"/>
      <c r="D49" s="165"/>
      <c r="E49" s="165"/>
      <c r="F49" s="189"/>
      <c r="G49" s="26">
        <v>1</v>
      </c>
      <c r="H49" s="24">
        <v>3599</v>
      </c>
      <c r="I49" s="24">
        <v>3599</v>
      </c>
      <c r="J49" s="27">
        <v>2996</v>
      </c>
      <c r="K49" s="19"/>
    </row>
    <row r="50" spans="1:14" ht="14.25" customHeight="1" x14ac:dyDescent="0.2">
      <c r="A50" s="22">
        <v>2</v>
      </c>
      <c r="B50" s="164" t="s">
        <v>46</v>
      </c>
      <c r="C50" s="165"/>
      <c r="D50" s="165"/>
      <c r="E50" s="165"/>
      <c r="F50" s="189"/>
      <c r="G50" s="26">
        <v>1</v>
      </c>
      <c r="H50" s="24">
        <v>859</v>
      </c>
      <c r="I50" s="24">
        <v>859</v>
      </c>
      <c r="J50" s="27">
        <v>500</v>
      </c>
      <c r="K50" s="19"/>
    </row>
    <row r="51" spans="1:14" ht="28.5" customHeight="1" x14ac:dyDescent="0.2">
      <c r="A51" s="22">
        <v>3</v>
      </c>
      <c r="B51" s="164" t="s">
        <v>77</v>
      </c>
      <c r="C51" s="165"/>
      <c r="D51" s="165"/>
      <c r="E51" s="165"/>
      <c r="F51" s="189"/>
      <c r="G51" s="26">
        <v>1</v>
      </c>
      <c r="H51" s="24">
        <v>350</v>
      </c>
      <c r="I51" s="24">
        <v>350</v>
      </c>
      <c r="J51" s="27">
        <v>150</v>
      </c>
      <c r="K51" s="19"/>
    </row>
    <row r="52" spans="1:14" ht="37.5" customHeight="1" x14ac:dyDescent="0.2">
      <c r="A52" s="22">
        <v>4</v>
      </c>
      <c r="B52" s="164" t="s">
        <v>78</v>
      </c>
      <c r="C52" s="165"/>
      <c r="D52" s="165"/>
      <c r="E52" s="165"/>
      <c r="F52" s="189"/>
      <c r="G52" s="26">
        <v>1</v>
      </c>
      <c r="H52" s="24">
        <v>150</v>
      </c>
      <c r="I52" s="24">
        <v>150</v>
      </c>
      <c r="J52" s="27">
        <v>100</v>
      </c>
      <c r="K52" s="19"/>
    </row>
    <row r="53" spans="1:14" ht="14.25" customHeight="1" x14ac:dyDescent="0.2">
      <c r="A53" s="22">
        <v>5</v>
      </c>
      <c r="B53" s="164" t="s">
        <v>49</v>
      </c>
      <c r="C53" s="165"/>
      <c r="D53" s="165"/>
      <c r="E53" s="165"/>
      <c r="F53" s="189"/>
      <c r="G53" s="26">
        <v>1</v>
      </c>
      <c r="H53" s="24">
        <v>200</v>
      </c>
      <c r="I53" s="24">
        <v>200</v>
      </c>
      <c r="J53" s="27">
        <v>100</v>
      </c>
      <c r="K53" s="19"/>
    </row>
    <row r="54" spans="1:14" ht="14.25" customHeight="1" x14ac:dyDescent="0.2">
      <c r="A54" s="22">
        <v>6</v>
      </c>
      <c r="B54" s="164" t="s">
        <v>40</v>
      </c>
      <c r="C54" s="165"/>
      <c r="D54" s="165"/>
      <c r="E54" s="165"/>
      <c r="F54" s="189"/>
      <c r="G54" s="26">
        <v>2</v>
      </c>
      <c r="H54" s="24">
        <v>4899</v>
      </c>
      <c r="I54" s="24">
        <v>9798</v>
      </c>
      <c r="J54" s="27">
        <v>7800</v>
      </c>
      <c r="K54" s="19"/>
    </row>
    <row r="55" spans="1:14" ht="26.25" customHeight="1" x14ac:dyDescent="0.2">
      <c r="A55" s="22">
        <v>7</v>
      </c>
      <c r="B55" s="164" t="s">
        <v>79</v>
      </c>
      <c r="C55" s="165"/>
      <c r="D55" s="165"/>
      <c r="E55" s="165"/>
      <c r="F55" s="189"/>
      <c r="G55" s="26">
        <v>2</v>
      </c>
      <c r="H55" s="24">
        <v>60</v>
      </c>
      <c r="I55" s="24">
        <v>120</v>
      </c>
      <c r="J55" s="27">
        <v>50</v>
      </c>
      <c r="K55" s="19"/>
    </row>
    <row r="56" spans="1:14" ht="22.5" customHeight="1" x14ac:dyDescent="0.2">
      <c r="A56" s="22">
        <v>8</v>
      </c>
      <c r="B56" s="164" t="s">
        <v>43</v>
      </c>
      <c r="C56" s="165"/>
      <c r="D56" s="165"/>
      <c r="E56" s="165"/>
      <c r="F56" s="189"/>
      <c r="G56" s="26">
        <v>4</v>
      </c>
      <c r="H56" s="24">
        <v>65</v>
      </c>
      <c r="I56" s="24">
        <v>260</v>
      </c>
      <c r="J56" s="27">
        <v>140</v>
      </c>
      <c r="K56" s="19"/>
    </row>
    <row r="57" spans="1:14" ht="14.25" customHeight="1" x14ac:dyDescent="0.2">
      <c r="A57" s="22"/>
      <c r="B57" s="164"/>
      <c r="C57" s="165"/>
      <c r="D57" s="165"/>
      <c r="E57" s="165"/>
      <c r="F57" s="189"/>
      <c r="G57" s="26"/>
      <c r="H57" s="24"/>
      <c r="I57" s="24"/>
      <c r="J57" s="27"/>
      <c r="K57" s="19"/>
    </row>
    <row r="58" spans="1:14" ht="14.25" customHeight="1" x14ac:dyDescent="0.2">
      <c r="A58" s="22"/>
      <c r="B58" s="34"/>
      <c r="C58" s="34"/>
      <c r="D58" s="34"/>
      <c r="E58" s="34"/>
      <c r="F58" s="36"/>
      <c r="G58" s="26"/>
      <c r="H58" s="24"/>
      <c r="I58" s="24"/>
      <c r="J58" s="27"/>
      <c r="K58" s="19"/>
    </row>
    <row r="59" spans="1:14" ht="14.25" customHeight="1" x14ac:dyDescent="0.2">
      <c r="A59" s="22"/>
      <c r="B59" s="190" t="s">
        <v>51</v>
      </c>
      <c r="C59" s="165"/>
      <c r="D59" s="165"/>
      <c r="E59" s="165"/>
      <c r="F59" s="189"/>
      <c r="G59" s="26"/>
      <c r="H59" s="24"/>
      <c r="I59" s="24"/>
      <c r="J59" s="27"/>
      <c r="K59" s="19"/>
    </row>
    <row r="60" spans="1:14" ht="14.25" customHeight="1" x14ac:dyDescent="0.2">
      <c r="A60" s="22"/>
      <c r="B60" s="164"/>
      <c r="C60" s="165"/>
      <c r="D60" s="165"/>
      <c r="E60" s="165"/>
      <c r="F60" s="189"/>
      <c r="G60" s="26"/>
      <c r="H60" s="24"/>
      <c r="I60" s="24"/>
      <c r="J60" s="27"/>
      <c r="K60" s="19"/>
    </row>
    <row r="61" spans="1:14" ht="76.5" customHeight="1" x14ac:dyDescent="0.2">
      <c r="A61" s="22">
        <v>1</v>
      </c>
      <c r="B61" s="171" t="s">
        <v>52</v>
      </c>
      <c r="C61" s="165"/>
      <c r="D61" s="165"/>
      <c r="E61" s="165"/>
      <c r="F61" s="189"/>
      <c r="G61" s="26">
        <v>1</v>
      </c>
      <c r="H61" s="37">
        <v>4985</v>
      </c>
      <c r="I61" s="37">
        <v>4985</v>
      </c>
      <c r="J61" s="33">
        <v>4600</v>
      </c>
      <c r="K61" s="19"/>
    </row>
    <row r="62" spans="1:14" ht="26.25" customHeight="1" x14ac:dyDescent="0.2">
      <c r="A62" s="22">
        <v>2</v>
      </c>
      <c r="B62" s="164" t="s">
        <v>53</v>
      </c>
      <c r="C62" s="165"/>
      <c r="D62" s="165"/>
      <c r="E62" s="165"/>
      <c r="F62" s="189"/>
      <c r="G62" s="26">
        <v>1</v>
      </c>
      <c r="H62" s="24">
        <v>400</v>
      </c>
      <c r="I62" s="24">
        <v>400</v>
      </c>
      <c r="J62" s="27">
        <v>400</v>
      </c>
      <c r="K62" s="19"/>
      <c r="L62" s="38" t="s">
        <v>54</v>
      </c>
      <c r="M62" s="39" t="s">
        <v>55</v>
      </c>
      <c r="N62" s="40" t="s">
        <v>56</v>
      </c>
    </row>
    <row r="63" spans="1:14" ht="15" customHeight="1" x14ac:dyDescent="0.2">
      <c r="A63" s="22"/>
      <c r="B63" s="166"/>
      <c r="C63" s="165"/>
      <c r="D63" s="165"/>
      <c r="E63" s="165"/>
      <c r="F63" s="189"/>
      <c r="G63" s="26"/>
      <c r="H63" s="24"/>
      <c r="I63" s="24"/>
      <c r="J63" s="27"/>
      <c r="K63" s="19"/>
      <c r="L63" s="41">
        <f>I72</f>
        <v>44180</v>
      </c>
      <c r="M63" s="42">
        <f>SUM(J16:J68)</f>
        <v>32359</v>
      </c>
      <c r="N63" s="43">
        <f>L63-M63</f>
        <v>11821</v>
      </c>
    </row>
    <row r="64" spans="1:14" ht="14.25" customHeight="1" x14ac:dyDescent="0.2">
      <c r="A64" s="22"/>
      <c r="B64" s="190" t="s">
        <v>57</v>
      </c>
      <c r="C64" s="165"/>
      <c r="D64" s="165"/>
      <c r="E64" s="165"/>
      <c r="F64" s="189"/>
      <c r="G64" s="26"/>
      <c r="H64" s="33"/>
      <c r="I64" s="44"/>
      <c r="J64" s="27"/>
      <c r="K64" s="19"/>
    </row>
    <row r="65" spans="1:26" ht="14.25" customHeight="1" x14ac:dyDescent="0.2">
      <c r="A65" s="22"/>
      <c r="B65" s="25"/>
      <c r="C65" s="35"/>
      <c r="D65" s="35"/>
      <c r="E65" s="35"/>
      <c r="F65" s="45"/>
      <c r="G65" s="26"/>
      <c r="H65" s="33"/>
      <c r="I65" s="44"/>
      <c r="J65" s="27"/>
      <c r="K65" s="19"/>
    </row>
    <row r="66" spans="1:26" ht="14.25" customHeight="1" x14ac:dyDescent="0.2">
      <c r="A66" s="22">
        <v>1</v>
      </c>
      <c r="B66" s="171" t="s">
        <v>58</v>
      </c>
      <c r="C66" s="165"/>
      <c r="D66" s="165"/>
      <c r="E66" s="165"/>
      <c r="F66" s="189"/>
      <c r="G66" s="26">
        <v>1</v>
      </c>
      <c r="H66" s="33">
        <v>800</v>
      </c>
      <c r="I66" s="44">
        <v>800</v>
      </c>
      <c r="J66" s="27">
        <v>400</v>
      </c>
      <c r="K66" s="19"/>
    </row>
    <row r="67" spans="1:26" ht="14.25" customHeight="1" x14ac:dyDescent="0.2">
      <c r="A67" s="22">
        <v>2</v>
      </c>
      <c r="B67" s="171" t="s">
        <v>59</v>
      </c>
      <c r="C67" s="165"/>
      <c r="D67" s="165"/>
      <c r="E67" s="165"/>
      <c r="F67" s="189"/>
      <c r="G67" s="26">
        <v>1</v>
      </c>
      <c r="H67" s="33">
        <v>300</v>
      </c>
      <c r="I67" s="44">
        <v>300</v>
      </c>
      <c r="J67" s="46">
        <v>150</v>
      </c>
      <c r="K67" s="27"/>
    </row>
    <row r="68" spans="1:26" ht="25.5" customHeight="1" x14ac:dyDescent="0.2">
      <c r="A68" s="22">
        <v>3</v>
      </c>
      <c r="B68" s="171" t="s">
        <v>80</v>
      </c>
      <c r="C68" s="165"/>
      <c r="D68" s="165"/>
      <c r="E68" s="165"/>
      <c r="F68" s="189"/>
      <c r="G68" s="26">
        <v>1</v>
      </c>
      <c r="H68" s="33">
        <v>200</v>
      </c>
      <c r="I68" s="44">
        <v>200</v>
      </c>
      <c r="J68" s="27">
        <v>100</v>
      </c>
      <c r="K68" s="19"/>
    </row>
    <row r="69" spans="1:26" ht="25.5" customHeight="1" x14ac:dyDescent="0.2">
      <c r="A69" s="47"/>
      <c r="B69" s="20"/>
      <c r="C69" s="20"/>
      <c r="D69" s="20"/>
      <c r="E69" s="20"/>
      <c r="F69" s="48"/>
      <c r="G69" s="49"/>
      <c r="H69" s="50"/>
      <c r="I69" s="51"/>
      <c r="J69" s="27"/>
      <c r="K69" s="19"/>
    </row>
    <row r="70" spans="1:26" ht="27.75" customHeight="1" x14ac:dyDescent="0.2">
      <c r="A70" s="52"/>
      <c r="B70" s="167" t="s">
        <v>61</v>
      </c>
      <c r="C70" s="168"/>
      <c r="D70" s="168"/>
      <c r="E70" s="168"/>
      <c r="F70" s="169"/>
      <c r="G70" s="170" t="s">
        <v>62</v>
      </c>
      <c r="H70" s="168"/>
      <c r="I70" s="53">
        <f>SUM(I15:I68)</f>
        <v>44180</v>
      </c>
      <c r="J70" s="54"/>
      <c r="K70" s="12" t="s">
        <v>63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24" customHeight="1" x14ac:dyDescent="0.2">
      <c r="A71" s="14"/>
      <c r="B71" s="7"/>
      <c r="C71" s="7"/>
      <c r="D71" s="7"/>
      <c r="E71" s="7"/>
      <c r="F71" s="7"/>
      <c r="G71" s="170" t="s">
        <v>64</v>
      </c>
      <c r="H71" s="168"/>
      <c r="I71" s="53">
        <v>0</v>
      </c>
      <c r="K71" s="12" t="s">
        <v>65</v>
      </c>
    </row>
    <row r="72" spans="1:26" ht="24" customHeight="1" x14ac:dyDescent="0.2">
      <c r="A72" s="14"/>
      <c r="B72" s="7"/>
      <c r="C72" s="7"/>
      <c r="D72" s="7"/>
      <c r="E72" s="7"/>
      <c r="F72" s="7"/>
      <c r="G72" s="162" t="s">
        <v>66</v>
      </c>
      <c r="H72" s="163"/>
      <c r="I72" s="55">
        <f>I70+I71</f>
        <v>44180</v>
      </c>
    </row>
    <row r="73" spans="1:26" ht="24" customHeight="1" x14ac:dyDescent="0.2">
      <c r="A73" s="14"/>
      <c r="B73" s="7"/>
      <c r="C73" s="7"/>
      <c r="D73" s="7"/>
      <c r="E73" s="7"/>
      <c r="F73" s="7"/>
      <c r="G73" s="56"/>
      <c r="H73" s="56"/>
      <c r="I73" s="57"/>
    </row>
    <row r="74" spans="1:26" ht="14.25" customHeight="1" x14ac:dyDescent="0.2">
      <c r="A74" s="14"/>
      <c r="B74" s="171" t="s">
        <v>67</v>
      </c>
      <c r="C74" s="165"/>
      <c r="D74" s="165"/>
      <c r="E74" s="165"/>
      <c r="F74" s="165"/>
      <c r="G74" s="165"/>
      <c r="H74" s="165"/>
      <c r="I74" s="165"/>
      <c r="K74" s="12" t="s">
        <v>68</v>
      </c>
    </row>
    <row r="75" spans="1:26" ht="14.25" customHeight="1" x14ac:dyDescent="0.2">
      <c r="A75" s="14"/>
      <c r="B75" s="165"/>
      <c r="C75" s="165"/>
      <c r="D75" s="165"/>
      <c r="E75" s="165"/>
      <c r="F75" s="165"/>
      <c r="G75" s="165"/>
      <c r="H75" s="165"/>
      <c r="I75" s="165"/>
      <c r="K75" s="12"/>
    </row>
    <row r="76" spans="1:26" ht="14.25" customHeight="1" x14ac:dyDescent="0.2">
      <c r="A76" s="14"/>
      <c r="B76" s="46" t="s">
        <v>69</v>
      </c>
    </row>
    <row r="77" spans="1:26" ht="14.25" customHeight="1" x14ac:dyDescent="0.2">
      <c r="A77" s="14"/>
      <c r="B77" s="20"/>
      <c r="C77" s="20"/>
      <c r="D77" s="20"/>
      <c r="E77" s="20"/>
      <c r="F77" s="20"/>
      <c r="G77" s="20"/>
      <c r="H77" s="20"/>
      <c r="I77" s="20"/>
    </row>
    <row r="78" spans="1:26" ht="14.25" customHeight="1" x14ac:dyDescent="0.2">
      <c r="A78" s="14"/>
      <c r="B78" s="58"/>
    </row>
    <row r="79" spans="1:26" ht="116.25" customHeight="1" x14ac:dyDescent="0.2">
      <c r="A79" s="14"/>
      <c r="B79" s="7"/>
      <c r="C79" s="7"/>
      <c r="D79" s="7"/>
      <c r="E79" s="7"/>
      <c r="F79" s="7"/>
      <c r="G79" s="164" t="s">
        <v>70</v>
      </c>
      <c r="H79" s="165"/>
      <c r="I79" s="165"/>
    </row>
    <row r="80" spans="1:26" ht="14.25" customHeight="1" x14ac:dyDescent="0.2">
      <c r="A80" s="14"/>
      <c r="B80" s="7"/>
      <c r="C80" s="7"/>
      <c r="D80" s="7"/>
      <c r="E80" s="7"/>
      <c r="F80" s="7"/>
      <c r="G80" s="165"/>
      <c r="H80" s="165"/>
      <c r="I80" s="165"/>
      <c r="K80" s="12" t="s">
        <v>71</v>
      </c>
    </row>
    <row r="81" spans="1:11" ht="14.25" customHeight="1" x14ac:dyDescent="0.2">
      <c r="A81" s="14"/>
      <c r="B81" s="59"/>
      <c r="C81" s="59"/>
      <c r="D81" s="59"/>
      <c r="E81" s="59"/>
      <c r="F81" s="59"/>
      <c r="G81" s="59"/>
      <c r="H81" s="59"/>
      <c r="I81" s="59"/>
      <c r="K81" s="12"/>
    </row>
    <row r="82" spans="1:11" ht="14.25" customHeight="1" x14ac:dyDescent="0.2">
      <c r="A82" s="14"/>
    </row>
    <row r="83" spans="1:11" ht="14.25" customHeight="1" x14ac:dyDescent="0.2">
      <c r="A83" s="14"/>
    </row>
    <row r="84" spans="1:11" ht="14.25" customHeight="1" x14ac:dyDescent="0.2">
      <c r="A84" s="14"/>
    </row>
    <row r="85" spans="1:11" ht="14.25" customHeight="1" x14ac:dyDescent="0.2">
      <c r="A85" s="14"/>
    </row>
    <row r="86" spans="1:11" ht="14.25" customHeight="1" x14ac:dyDescent="0.2">
      <c r="A86" s="14"/>
    </row>
    <row r="87" spans="1:11" ht="14.25" customHeight="1" x14ac:dyDescent="0.2">
      <c r="A87" s="14"/>
    </row>
    <row r="88" spans="1:11" ht="14.25" customHeight="1" x14ac:dyDescent="0.2">
      <c r="A88" s="14"/>
    </row>
    <row r="89" spans="1:11" ht="14.25" customHeight="1" x14ac:dyDescent="0.2">
      <c r="A89" s="14"/>
    </row>
    <row r="90" spans="1:11" ht="14.25" customHeight="1" x14ac:dyDescent="0.2">
      <c r="A90" s="14"/>
    </row>
    <row r="91" spans="1:11" ht="14.25" customHeight="1" x14ac:dyDescent="0.2">
      <c r="A91" s="14"/>
    </row>
    <row r="92" spans="1:11" ht="14.25" customHeight="1" x14ac:dyDescent="0.2">
      <c r="A92" s="14"/>
    </row>
    <row r="93" spans="1:11" ht="14.25" customHeight="1" x14ac:dyDescent="0.2">
      <c r="A93" s="14"/>
    </row>
    <row r="94" spans="1:11" ht="14.25" customHeight="1" x14ac:dyDescent="0.2">
      <c r="A94" s="14"/>
    </row>
    <row r="95" spans="1:11" ht="14.25" customHeight="1" x14ac:dyDescent="0.2">
      <c r="A95" s="14"/>
    </row>
    <row r="96" spans="1:1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67">
    <mergeCell ref="B50:F50"/>
    <mergeCell ref="B51:F51"/>
    <mergeCell ref="B52:F52"/>
    <mergeCell ref="B53:F53"/>
    <mergeCell ref="B54:F54"/>
    <mergeCell ref="B55:F55"/>
    <mergeCell ref="B56:F56"/>
    <mergeCell ref="B57:F57"/>
    <mergeCell ref="B59:F59"/>
    <mergeCell ref="B60:F60"/>
    <mergeCell ref="B61:F61"/>
    <mergeCell ref="B62:F62"/>
    <mergeCell ref="B63:F63"/>
    <mergeCell ref="B64:F64"/>
    <mergeCell ref="G72:H72"/>
    <mergeCell ref="G79:I80"/>
    <mergeCell ref="B66:F66"/>
    <mergeCell ref="B67:F67"/>
    <mergeCell ref="B68:F68"/>
    <mergeCell ref="B70:F70"/>
    <mergeCell ref="G70:H70"/>
    <mergeCell ref="G71:H71"/>
    <mergeCell ref="B74:I75"/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5:F45"/>
    <mergeCell ref="B46:F46"/>
    <mergeCell ref="B47:F47"/>
    <mergeCell ref="B48:F48"/>
    <mergeCell ref="B49:F49"/>
  </mergeCells>
  <hyperlinks>
    <hyperlink ref="K3" r:id="rId1" xr:uid="{00000000-0004-0000-01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7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3872</v>
      </c>
      <c r="H5" s="182"/>
      <c r="I5" s="11">
        <v>45575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81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82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83</v>
      </c>
      <c r="C16" s="165"/>
      <c r="D16" s="165"/>
      <c r="E16" s="165"/>
      <c r="F16" s="189"/>
      <c r="G16" s="193" t="s">
        <v>84</v>
      </c>
      <c r="H16" s="195">
        <v>6500</v>
      </c>
      <c r="I16" s="195">
        <v>6500</v>
      </c>
      <c r="J16" s="27"/>
      <c r="K16" s="19"/>
    </row>
    <row r="17" spans="1:11" ht="14.25" customHeight="1" x14ac:dyDescent="0.2">
      <c r="A17" s="22"/>
      <c r="B17" s="28"/>
      <c r="C17" s="28"/>
      <c r="D17" s="28"/>
      <c r="E17" s="28"/>
      <c r="F17" s="29"/>
      <c r="G17" s="194"/>
      <c r="H17" s="194"/>
      <c r="I17" s="194"/>
      <c r="J17" s="27"/>
      <c r="K17" s="19"/>
    </row>
    <row r="18" spans="1:11" ht="14.25" customHeight="1" x14ac:dyDescent="0.2">
      <c r="A18" s="22"/>
      <c r="B18" s="192" t="s">
        <v>22</v>
      </c>
      <c r="C18" s="165"/>
      <c r="D18" s="165"/>
      <c r="E18" s="165"/>
      <c r="F18" s="189"/>
      <c r="G18" s="194"/>
      <c r="H18" s="194"/>
      <c r="I18" s="194"/>
      <c r="J18" s="27"/>
      <c r="K18" s="19"/>
    </row>
    <row r="19" spans="1:11" ht="14.25" customHeight="1" x14ac:dyDescent="0.2">
      <c r="A19" s="22"/>
      <c r="B19" s="30"/>
      <c r="C19" s="30"/>
      <c r="D19" s="30"/>
      <c r="E19" s="30"/>
      <c r="F19" s="31"/>
      <c r="G19" s="194"/>
      <c r="H19" s="194"/>
      <c r="I19" s="194"/>
      <c r="J19" s="27"/>
      <c r="K19" s="19"/>
    </row>
    <row r="20" spans="1:11" ht="26.25" customHeight="1" x14ac:dyDescent="0.2">
      <c r="A20" s="22">
        <v>1</v>
      </c>
      <c r="B20" s="171" t="s">
        <v>85</v>
      </c>
      <c r="C20" s="165"/>
      <c r="D20" s="165"/>
      <c r="E20" s="165"/>
      <c r="F20" s="189"/>
      <c r="G20" s="194"/>
      <c r="H20" s="194"/>
      <c r="I20" s="194"/>
      <c r="J20" s="27">
        <v>150</v>
      </c>
      <c r="K20" s="19"/>
    </row>
    <row r="21" spans="1:11" ht="25.5" customHeight="1" x14ac:dyDescent="0.2">
      <c r="A21" s="22">
        <v>2</v>
      </c>
      <c r="B21" s="171" t="s">
        <v>86</v>
      </c>
      <c r="C21" s="165"/>
      <c r="D21" s="165"/>
      <c r="E21" s="165"/>
      <c r="F21" s="189"/>
      <c r="G21" s="194"/>
      <c r="H21" s="194"/>
      <c r="I21" s="194"/>
      <c r="J21" s="27">
        <v>290</v>
      </c>
      <c r="K21" s="19"/>
    </row>
    <row r="22" spans="1:11" ht="14.25" customHeight="1" x14ac:dyDescent="0.2">
      <c r="A22" s="22">
        <v>3</v>
      </c>
      <c r="B22" s="171" t="s">
        <v>87</v>
      </c>
      <c r="C22" s="165"/>
      <c r="D22" s="165"/>
      <c r="E22" s="165"/>
      <c r="F22" s="189"/>
      <c r="G22" s="194"/>
      <c r="H22" s="194"/>
      <c r="I22" s="194"/>
      <c r="J22" s="27">
        <v>250</v>
      </c>
      <c r="K22" s="19" t="s">
        <v>26</v>
      </c>
    </row>
    <row r="23" spans="1:11" ht="14.25" customHeight="1" x14ac:dyDescent="0.2">
      <c r="A23" s="22">
        <v>4</v>
      </c>
      <c r="B23" s="171" t="s">
        <v>88</v>
      </c>
      <c r="C23" s="165"/>
      <c r="D23" s="165"/>
      <c r="E23" s="165"/>
      <c r="F23" s="189"/>
      <c r="G23" s="194"/>
      <c r="H23" s="194"/>
      <c r="I23" s="194"/>
      <c r="J23" s="27">
        <v>400</v>
      </c>
      <c r="K23" s="19"/>
    </row>
    <row r="24" spans="1:11" ht="39.75" customHeight="1" x14ac:dyDescent="0.2">
      <c r="A24" s="22">
        <v>5</v>
      </c>
      <c r="B24" s="171" t="s">
        <v>89</v>
      </c>
      <c r="C24" s="165"/>
      <c r="D24" s="165"/>
      <c r="E24" s="165"/>
      <c r="F24" s="189"/>
      <c r="G24" s="194"/>
      <c r="H24" s="194"/>
      <c r="I24" s="194"/>
      <c r="J24" s="27">
        <v>150</v>
      </c>
      <c r="K24" s="19"/>
    </row>
    <row r="25" spans="1:11" ht="14.25" customHeight="1" x14ac:dyDescent="0.2">
      <c r="A25" s="22"/>
      <c r="B25" s="190" t="s">
        <v>90</v>
      </c>
      <c r="C25" s="165"/>
      <c r="D25" s="165"/>
      <c r="E25" s="165"/>
      <c r="F25" s="189"/>
      <c r="G25" s="194"/>
      <c r="H25" s="194"/>
      <c r="I25" s="194"/>
      <c r="J25" s="27"/>
      <c r="K25" s="19"/>
    </row>
    <row r="26" spans="1:11" ht="14.25" customHeight="1" x14ac:dyDescent="0.2">
      <c r="A26" s="22"/>
      <c r="B26" s="166"/>
      <c r="C26" s="165"/>
      <c r="D26" s="165"/>
      <c r="E26" s="165"/>
      <c r="F26" s="189"/>
      <c r="G26" s="194"/>
      <c r="H26" s="194"/>
      <c r="I26" s="194"/>
      <c r="J26" s="27"/>
      <c r="K26" s="19"/>
    </row>
    <row r="27" spans="1:11" ht="25.5" customHeight="1" x14ac:dyDescent="0.2">
      <c r="A27" s="22">
        <v>1</v>
      </c>
      <c r="B27" s="171" t="s">
        <v>91</v>
      </c>
      <c r="C27" s="165"/>
      <c r="D27" s="165"/>
      <c r="E27" s="165"/>
      <c r="F27" s="189"/>
      <c r="G27" s="194"/>
      <c r="H27" s="194"/>
      <c r="I27" s="194"/>
      <c r="J27" s="27">
        <v>10200</v>
      </c>
      <c r="K27" s="19"/>
    </row>
    <row r="28" spans="1:11" ht="14.25" customHeight="1" x14ac:dyDescent="0.2">
      <c r="A28" s="22">
        <v>2</v>
      </c>
      <c r="B28" s="164" t="s">
        <v>92</v>
      </c>
      <c r="C28" s="165"/>
      <c r="D28" s="165"/>
      <c r="E28" s="165"/>
      <c r="F28" s="189"/>
      <c r="G28" s="194"/>
      <c r="H28" s="194"/>
      <c r="I28" s="194"/>
      <c r="J28" s="27">
        <v>240</v>
      </c>
      <c r="K28" s="19"/>
    </row>
    <row r="29" spans="1:11" ht="14.25" customHeight="1" x14ac:dyDescent="0.2">
      <c r="A29" s="22">
        <v>3</v>
      </c>
      <c r="B29" s="171" t="s">
        <v>93</v>
      </c>
      <c r="C29" s="165"/>
      <c r="D29" s="165"/>
      <c r="E29" s="165"/>
      <c r="F29" s="189"/>
      <c r="G29" s="194"/>
      <c r="H29" s="194"/>
      <c r="I29" s="194"/>
      <c r="J29" s="27">
        <v>600</v>
      </c>
      <c r="K29" s="19"/>
    </row>
    <row r="30" spans="1:11" ht="24" customHeight="1" x14ac:dyDescent="0.2">
      <c r="A30" s="22">
        <v>4</v>
      </c>
      <c r="B30" s="164" t="s">
        <v>94</v>
      </c>
      <c r="C30" s="165"/>
      <c r="D30" s="165"/>
      <c r="E30" s="165"/>
      <c r="F30" s="189"/>
      <c r="G30" s="194"/>
      <c r="H30" s="194"/>
      <c r="I30" s="194"/>
      <c r="J30" s="27">
        <v>140</v>
      </c>
      <c r="K30" s="19"/>
    </row>
    <row r="31" spans="1:11" ht="14.25" customHeight="1" x14ac:dyDescent="0.2">
      <c r="A31" s="22"/>
      <c r="B31" s="34"/>
      <c r="C31" s="34"/>
      <c r="D31" s="34"/>
      <c r="E31" s="34"/>
      <c r="F31" s="36"/>
      <c r="G31" s="26"/>
      <c r="H31" s="24"/>
      <c r="I31" s="24"/>
      <c r="J31" s="27"/>
      <c r="K31" s="19"/>
    </row>
    <row r="32" spans="1:11" ht="14.25" customHeight="1" x14ac:dyDescent="0.2">
      <c r="A32" s="22"/>
      <c r="B32" s="34"/>
      <c r="C32" s="34"/>
      <c r="D32" s="34"/>
      <c r="E32" s="34"/>
      <c r="F32" s="36"/>
      <c r="G32" s="26"/>
      <c r="H32" s="24"/>
      <c r="I32" s="24"/>
      <c r="J32" s="27"/>
      <c r="K32" s="19"/>
    </row>
    <row r="33" spans="1:26" ht="25.5" customHeight="1" x14ac:dyDescent="0.2">
      <c r="A33" s="47"/>
      <c r="B33" s="20"/>
      <c r="C33" s="20"/>
      <c r="D33" s="20"/>
      <c r="E33" s="20"/>
      <c r="F33" s="48"/>
      <c r="G33" s="49"/>
      <c r="H33" s="50"/>
      <c r="I33" s="51"/>
      <c r="J33" s="27"/>
      <c r="K33" s="19"/>
    </row>
    <row r="34" spans="1:26" ht="27.75" customHeight="1" x14ac:dyDescent="0.2">
      <c r="A34" s="52"/>
      <c r="B34" s="167" t="s">
        <v>61</v>
      </c>
      <c r="C34" s="168"/>
      <c r="D34" s="168"/>
      <c r="E34" s="168"/>
      <c r="F34" s="169"/>
      <c r="G34" s="170" t="s">
        <v>62</v>
      </c>
      <c r="H34" s="168"/>
      <c r="I34" s="53">
        <f>SUM(I15:I32)</f>
        <v>6500</v>
      </c>
      <c r="J34" s="54"/>
      <c r="K34" s="12" t="s">
        <v>63</v>
      </c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24" customHeight="1" x14ac:dyDescent="0.2">
      <c r="A35" s="14"/>
      <c r="B35" s="7"/>
      <c r="C35" s="7"/>
      <c r="D35" s="7"/>
      <c r="E35" s="7"/>
      <c r="F35" s="7"/>
      <c r="G35" s="170" t="s">
        <v>95</v>
      </c>
      <c r="H35" s="168"/>
      <c r="I35" s="60">
        <v>-500</v>
      </c>
      <c r="K35" s="12" t="s">
        <v>65</v>
      </c>
    </row>
    <row r="36" spans="1:26" ht="24" customHeight="1" x14ac:dyDescent="0.2">
      <c r="A36" s="14"/>
      <c r="B36" s="7"/>
      <c r="C36" s="7"/>
      <c r="D36" s="7"/>
      <c r="E36" s="7"/>
      <c r="F36" s="7"/>
      <c r="G36" s="162" t="s">
        <v>66</v>
      </c>
      <c r="H36" s="163"/>
      <c r="I36" s="55">
        <f>I34+I35</f>
        <v>6000</v>
      </c>
    </row>
    <row r="37" spans="1:26" ht="24" customHeight="1" x14ac:dyDescent="0.2">
      <c r="A37" s="14"/>
      <c r="B37" s="7"/>
      <c r="C37" s="7"/>
      <c r="D37" s="7"/>
      <c r="E37" s="7"/>
      <c r="F37" s="7"/>
      <c r="G37" s="56"/>
      <c r="H37" s="56"/>
      <c r="I37" s="57"/>
    </row>
    <row r="38" spans="1:26" ht="14.25" customHeight="1" x14ac:dyDescent="0.2">
      <c r="A38" s="14"/>
      <c r="B38" s="171" t="s">
        <v>67</v>
      </c>
      <c r="C38" s="165"/>
      <c r="D38" s="165"/>
      <c r="E38" s="165"/>
      <c r="F38" s="165"/>
      <c r="G38" s="165"/>
      <c r="H38" s="165"/>
      <c r="I38" s="165"/>
      <c r="K38" s="12" t="s">
        <v>68</v>
      </c>
    </row>
    <row r="39" spans="1:26" ht="14.25" customHeight="1" x14ac:dyDescent="0.2">
      <c r="A39" s="14"/>
      <c r="B39" s="165"/>
      <c r="C39" s="165"/>
      <c r="D39" s="165"/>
      <c r="E39" s="165"/>
      <c r="F39" s="165"/>
      <c r="G39" s="165"/>
      <c r="H39" s="165"/>
      <c r="I39" s="165"/>
      <c r="K39" s="12"/>
    </row>
    <row r="40" spans="1:26" ht="14.25" customHeight="1" x14ac:dyDescent="0.2">
      <c r="A40" s="14"/>
      <c r="B40" s="46" t="s">
        <v>69</v>
      </c>
    </row>
    <row r="41" spans="1:26" ht="14.25" customHeight="1" x14ac:dyDescent="0.2">
      <c r="A41" s="14"/>
      <c r="B41" s="20"/>
      <c r="C41" s="20"/>
      <c r="D41" s="20"/>
      <c r="E41" s="20"/>
      <c r="F41" s="20"/>
      <c r="G41" s="20"/>
      <c r="H41" s="20"/>
      <c r="I41" s="20"/>
    </row>
    <row r="42" spans="1:26" ht="14.25" customHeight="1" x14ac:dyDescent="0.2">
      <c r="A42" s="14"/>
      <c r="B42" s="58"/>
    </row>
    <row r="43" spans="1:26" ht="116.25" customHeight="1" x14ac:dyDescent="0.2">
      <c r="A43" s="14"/>
      <c r="B43" s="7"/>
      <c r="C43" s="7"/>
      <c r="D43" s="7"/>
      <c r="E43" s="7"/>
      <c r="F43" s="7"/>
      <c r="G43" s="164" t="s">
        <v>70</v>
      </c>
      <c r="H43" s="165"/>
      <c r="I43" s="165"/>
    </row>
    <row r="44" spans="1:26" ht="14.25" customHeight="1" x14ac:dyDescent="0.2">
      <c r="A44" s="14"/>
      <c r="B44" s="7"/>
      <c r="C44" s="7"/>
      <c r="D44" s="7"/>
      <c r="E44" s="7"/>
      <c r="F44" s="7"/>
      <c r="G44" s="165"/>
      <c r="H44" s="165"/>
      <c r="I44" s="165"/>
      <c r="K44" s="12" t="s">
        <v>71</v>
      </c>
    </row>
    <row r="45" spans="1:26" ht="14.25" customHeight="1" x14ac:dyDescent="0.2">
      <c r="A45" s="14"/>
      <c r="B45" s="59"/>
      <c r="C45" s="59"/>
      <c r="D45" s="59"/>
      <c r="E45" s="59"/>
      <c r="F45" s="59"/>
      <c r="G45" s="59"/>
      <c r="H45" s="59"/>
      <c r="I45" s="59"/>
      <c r="K45" s="12"/>
    </row>
    <row r="46" spans="1:26" ht="14.25" customHeight="1" x14ac:dyDescent="0.2">
      <c r="A46" s="14"/>
    </row>
    <row r="47" spans="1:26" ht="14.25" customHeight="1" x14ac:dyDescent="0.2">
      <c r="A47" s="14"/>
    </row>
    <row r="48" spans="1:26" ht="14.25" customHeight="1" x14ac:dyDescent="0.2">
      <c r="A48" s="14"/>
    </row>
    <row r="49" spans="1:1" ht="14.25" customHeight="1" x14ac:dyDescent="0.2">
      <c r="A49" s="14"/>
    </row>
    <row r="50" spans="1:1" ht="14.25" customHeight="1" x14ac:dyDescent="0.2">
      <c r="A50" s="14"/>
    </row>
    <row r="51" spans="1:1" ht="14.25" customHeight="1" x14ac:dyDescent="0.2">
      <c r="A51" s="14"/>
    </row>
    <row r="52" spans="1:1" ht="14.25" customHeight="1" x14ac:dyDescent="0.2">
      <c r="A52" s="14"/>
    </row>
    <row r="53" spans="1:1" ht="14.25" customHeight="1" x14ac:dyDescent="0.2">
      <c r="A53" s="14"/>
    </row>
    <row r="54" spans="1:1" ht="14.25" customHeight="1" x14ac:dyDescent="0.2">
      <c r="A54" s="14"/>
    </row>
    <row r="55" spans="1:1" ht="14.25" customHeight="1" x14ac:dyDescent="0.2">
      <c r="A55" s="14"/>
    </row>
    <row r="56" spans="1:1" ht="14.25" customHeight="1" x14ac:dyDescent="0.2">
      <c r="A56" s="14"/>
    </row>
    <row r="57" spans="1:1" ht="14.25" customHeight="1" x14ac:dyDescent="0.2">
      <c r="A57" s="14"/>
    </row>
    <row r="58" spans="1:1" ht="14.25" customHeight="1" x14ac:dyDescent="0.2">
      <c r="A58" s="14"/>
    </row>
    <row r="59" spans="1:1" ht="14.25" customHeight="1" x14ac:dyDescent="0.2">
      <c r="A59" s="14"/>
    </row>
    <row r="60" spans="1:1" ht="14.25" customHeight="1" x14ac:dyDescent="0.2">
      <c r="A60" s="14"/>
    </row>
    <row r="61" spans="1:1" ht="14.25" customHeight="1" x14ac:dyDescent="0.2">
      <c r="A61" s="14"/>
    </row>
    <row r="62" spans="1:1" ht="14.25" customHeight="1" x14ac:dyDescent="0.2">
      <c r="A62" s="14"/>
    </row>
    <row r="63" spans="1:1" ht="14.25" customHeight="1" x14ac:dyDescent="0.2">
      <c r="A63" s="14"/>
    </row>
    <row r="64" spans="1:1" ht="14.25" customHeight="1" x14ac:dyDescent="0.2">
      <c r="A64" s="14"/>
    </row>
    <row r="65" spans="1:1" ht="14.25" customHeight="1" x14ac:dyDescent="0.2">
      <c r="A65" s="14"/>
    </row>
    <row r="66" spans="1:1" ht="14.25" customHeight="1" x14ac:dyDescent="0.2">
      <c r="A66" s="14"/>
    </row>
    <row r="67" spans="1:1" ht="14.25" customHeight="1" x14ac:dyDescent="0.2">
      <c r="A67" s="14"/>
    </row>
    <row r="68" spans="1:1" ht="14.25" customHeight="1" x14ac:dyDescent="0.2">
      <c r="A68" s="14"/>
    </row>
    <row r="69" spans="1:1" ht="14.25" customHeight="1" x14ac:dyDescent="0.2">
      <c r="A69" s="14"/>
    </row>
    <row r="70" spans="1:1" ht="14.25" customHeight="1" x14ac:dyDescent="0.2">
      <c r="A70" s="14"/>
    </row>
    <row r="71" spans="1:1" ht="14.25" customHeight="1" x14ac:dyDescent="0.2">
      <c r="A71" s="14"/>
    </row>
    <row r="72" spans="1:1" ht="14.25" customHeight="1" x14ac:dyDescent="0.2">
      <c r="A72" s="14"/>
    </row>
    <row r="73" spans="1:1" ht="14.25" customHeight="1" x14ac:dyDescent="0.2">
      <c r="A73" s="14"/>
    </row>
    <row r="74" spans="1:1" ht="14.25" customHeight="1" x14ac:dyDescent="0.2">
      <c r="A74" s="14"/>
    </row>
    <row r="75" spans="1:1" ht="14.25" customHeight="1" x14ac:dyDescent="0.2">
      <c r="A75" s="14"/>
    </row>
    <row r="76" spans="1:1" ht="14.25" customHeight="1" x14ac:dyDescent="0.2">
      <c r="A76" s="14"/>
    </row>
    <row r="77" spans="1:1" ht="14.25" customHeight="1" x14ac:dyDescent="0.2">
      <c r="A77" s="14"/>
    </row>
    <row r="78" spans="1:1" ht="14.25" customHeight="1" x14ac:dyDescent="0.2">
      <c r="A78" s="14"/>
    </row>
    <row r="79" spans="1:1" ht="14.25" customHeight="1" x14ac:dyDescent="0.2">
      <c r="A79" s="14"/>
    </row>
    <row r="80" spans="1:1" ht="14.25" customHeight="1" x14ac:dyDescent="0.2">
      <c r="A80" s="14"/>
    </row>
    <row r="81" spans="1:1" ht="14.25" customHeight="1" x14ac:dyDescent="0.2">
      <c r="A81" s="14"/>
    </row>
    <row r="82" spans="1:1" ht="14.25" customHeight="1" x14ac:dyDescent="0.2">
      <c r="A82" s="14"/>
    </row>
    <row r="83" spans="1:1" ht="14.25" customHeight="1" x14ac:dyDescent="0.2">
      <c r="A83" s="14"/>
    </row>
    <row r="84" spans="1:1" ht="14.25" customHeight="1" x14ac:dyDescent="0.2">
      <c r="A84" s="14"/>
    </row>
    <row r="85" spans="1:1" ht="14.25" customHeight="1" x14ac:dyDescent="0.2">
      <c r="A85" s="14"/>
    </row>
    <row r="86" spans="1:1" ht="14.25" customHeight="1" x14ac:dyDescent="0.2">
      <c r="A86" s="14"/>
    </row>
    <row r="87" spans="1:1" ht="14.25" customHeight="1" x14ac:dyDescent="0.2">
      <c r="A87" s="14"/>
    </row>
    <row r="88" spans="1:1" ht="14.25" customHeight="1" x14ac:dyDescent="0.2">
      <c r="A88" s="14"/>
    </row>
    <row r="89" spans="1:1" ht="14.25" customHeight="1" x14ac:dyDescent="0.2">
      <c r="A89" s="14"/>
    </row>
    <row r="90" spans="1:1" ht="14.25" customHeight="1" x14ac:dyDescent="0.2">
      <c r="A90" s="14"/>
    </row>
    <row r="91" spans="1:1" ht="14.25" customHeight="1" x14ac:dyDescent="0.2">
      <c r="A91" s="14"/>
    </row>
    <row r="92" spans="1:1" ht="14.25" customHeight="1" x14ac:dyDescent="0.2">
      <c r="A92" s="14"/>
    </row>
    <row r="93" spans="1:1" ht="14.25" customHeight="1" x14ac:dyDescent="0.2">
      <c r="A93" s="14"/>
    </row>
    <row r="94" spans="1:1" ht="14.25" customHeight="1" x14ac:dyDescent="0.2">
      <c r="A94" s="14"/>
    </row>
    <row r="95" spans="1:1" ht="14.25" customHeight="1" x14ac:dyDescent="0.2">
      <c r="A95" s="14"/>
    </row>
    <row r="96" spans="1: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36"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7:F27"/>
    <mergeCell ref="B28:F28"/>
    <mergeCell ref="B29:F29"/>
    <mergeCell ref="B30:F30"/>
    <mergeCell ref="B34:F34"/>
    <mergeCell ref="B38:I39"/>
    <mergeCell ref="B20:F20"/>
    <mergeCell ref="B21:F21"/>
    <mergeCell ref="B22:F22"/>
    <mergeCell ref="B23:F23"/>
    <mergeCell ref="B24:F24"/>
    <mergeCell ref="B25:F25"/>
    <mergeCell ref="B26:F26"/>
    <mergeCell ref="G36:H36"/>
    <mergeCell ref="G43:I44"/>
    <mergeCell ref="G6:H6"/>
    <mergeCell ref="G7:H7"/>
    <mergeCell ref="G16:G30"/>
    <mergeCell ref="H16:H30"/>
    <mergeCell ref="I16:I30"/>
    <mergeCell ref="G34:H34"/>
    <mergeCell ref="G35:H35"/>
  </mergeCells>
  <hyperlinks>
    <hyperlink ref="K3" r:id="rId1" xr:uid="{00000000-0004-0000-02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7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3842</v>
      </c>
      <c r="H5" s="182"/>
      <c r="I5" s="11">
        <v>45573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96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97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21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11" ht="14.25" customHeight="1" x14ac:dyDescent="0.2">
      <c r="A17" s="22"/>
      <c r="B17" s="28"/>
      <c r="C17" s="28"/>
      <c r="D17" s="28"/>
      <c r="E17" s="28"/>
      <c r="F17" s="29"/>
      <c r="G17" s="26"/>
      <c r="H17" s="24"/>
      <c r="I17" s="24"/>
      <c r="J17" s="27"/>
      <c r="K17" s="19"/>
    </row>
    <row r="18" spans="1:11" ht="14.25" customHeight="1" x14ac:dyDescent="0.2">
      <c r="A18" s="22"/>
      <c r="B18" s="192" t="s">
        <v>22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11" ht="14.25" customHeight="1" x14ac:dyDescent="0.2">
      <c r="A19" s="22"/>
      <c r="B19" s="30"/>
      <c r="C19" s="30"/>
      <c r="D19" s="30"/>
      <c r="E19" s="30"/>
      <c r="F19" s="31"/>
      <c r="G19" s="26"/>
      <c r="H19" s="24"/>
      <c r="I19" s="24"/>
      <c r="J19" s="27"/>
      <c r="K19" s="19"/>
    </row>
    <row r="20" spans="1:11" ht="39" customHeight="1" x14ac:dyDescent="0.2">
      <c r="A20" s="22">
        <v>1</v>
      </c>
      <c r="B20" s="171" t="s">
        <v>98</v>
      </c>
      <c r="C20" s="165"/>
      <c r="D20" s="165"/>
      <c r="E20" s="165"/>
      <c r="F20" s="189"/>
      <c r="G20" s="32">
        <v>1</v>
      </c>
      <c r="H20" s="33">
        <v>290</v>
      </c>
      <c r="I20" s="33">
        <v>290</v>
      </c>
      <c r="J20" s="27">
        <v>150</v>
      </c>
      <c r="K20" s="19"/>
    </row>
    <row r="21" spans="1:11" ht="14.25" customHeight="1" x14ac:dyDescent="0.2">
      <c r="A21" s="22">
        <v>2</v>
      </c>
      <c r="B21" s="171" t="s">
        <v>24</v>
      </c>
      <c r="C21" s="165"/>
      <c r="D21" s="165"/>
      <c r="E21" s="165"/>
      <c r="F21" s="189"/>
      <c r="G21" s="32">
        <v>1</v>
      </c>
      <c r="H21" s="33">
        <v>480</v>
      </c>
      <c r="I21" s="33">
        <v>480</v>
      </c>
      <c r="J21" s="27">
        <v>290</v>
      </c>
      <c r="K21" s="19"/>
    </row>
    <row r="22" spans="1:11" ht="14.25" customHeight="1" x14ac:dyDescent="0.2">
      <c r="A22" s="22">
        <v>3</v>
      </c>
      <c r="B22" s="171" t="s">
        <v>25</v>
      </c>
      <c r="C22" s="165"/>
      <c r="D22" s="165"/>
      <c r="E22" s="165"/>
      <c r="F22" s="189"/>
      <c r="G22" s="32">
        <v>1</v>
      </c>
      <c r="H22" s="33">
        <v>490</v>
      </c>
      <c r="I22" s="33">
        <v>490</v>
      </c>
      <c r="J22" s="27">
        <v>250</v>
      </c>
      <c r="K22" s="19" t="s">
        <v>26</v>
      </c>
    </row>
    <row r="23" spans="1:11" ht="14.25" customHeight="1" x14ac:dyDescent="0.2">
      <c r="A23" s="22">
        <v>4</v>
      </c>
      <c r="B23" s="171" t="s">
        <v>27</v>
      </c>
      <c r="C23" s="165"/>
      <c r="D23" s="165"/>
      <c r="E23" s="165"/>
      <c r="F23" s="189"/>
      <c r="G23" s="32">
        <v>5</v>
      </c>
      <c r="H23" s="33">
        <v>190</v>
      </c>
      <c r="I23" s="33">
        <v>950</v>
      </c>
      <c r="J23" s="27">
        <v>400</v>
      </c>
      <c r="K23" s="19"/>
    </row>
    <row r="24" spans="1:11" ht="39.75" customHeight="1" x14ac:dyDescent="0.2">
      <c r="A24" s="22">
        <v>5</v>
      </c>
      <c r="B24" s="171" t="s">
        <v>99</v>
      </c>
      <c r="C24" s="165"/>
      <c r="D24" s="165"/>
      <c r="E24" s="165"/>
      <c r="F24" s="189"/>
      <c r="G24" s="32">
        <v>1</v>
      </c>
      <c r="H24" s="33">
        <v>290</v>
      </c>
      <c r="I24" s="33">
        <v>290</v>
      </c>
      <c r="J24" s="27">
        <v>150</v>
      </c>
      <c r="K24" s="19"/>
    </row>
    <row r="25" spans="1:11" ht="14.25" customHeight="1" x14ac:dyDescent="0.2">
      <c r="A25" s="22">
        <v>6</v>
      </c>
      <c r="B25" s="164" t="s">
        <v>29</v>
      </c>
      <c r="C25" s="165"/>
      <c r="D25" s="165"/>
      <c r="E25" s="165"/>
      <c r="F25" s="189"/>
      <c r="G25" s="26">
        <v>1</v>
      </c>
      <c r="H25" s="24">
        <v>150</v>
      </c>
      <c r="I25" s="24">
        <v>150</v>
      </c>
      <c r="J25" s="27">
        <v>100</v>
      </c>
      <c r="K25" s="19"/>
    </row>
    <row r="26" spans="1:11" ht="14.25" customHeight="1" x14ac:dyDescent="0.2">
      <c r="A26" s="22">
        <v>7</v>
      </c>
      <c r="B26" s="164" t="s">
        <v>30</v>
      </c>
      <c r="C26" s="165"/>
      <c r="D26" s="165"/>
      <c r="E26" s="165"/>
      <c r="F26" s="189"/>
      <c r="G26" s="26">
        <v>1</v>
      </c>
      <c r="H26" s="24">
        <v>429</v>
      </c>
      <c r="I26" s="24">
        <v>429</v>
      </c>
      <c r="J26" s="27">
        <v>325</v>
      </c>
      <c r="K26" s="19"/>
    </row>
    <row r="27" spans="1:11" ht="14.25" customHeight="1" x14ac:dyDescent="0.2">
      <c r="A27" s="22">
        <v>8</v>
      </c>
      <c r="B27" s="164" t="s">
        <v>31</v>
      </c>
      <c r="C27" s="165"/>
      <c r="D27" s="165"/>
      <c r="E27" s="165"/>
      <c r="F27" s="189"/>
      <c r="G27" s="26">
        <v>1</v>
      </c>
      <c r="H27" s="24">
        <v>480</v>
      </c>
      <c r="I27" s="24">
        <v>480</v>
      </c>
      <c r="J27" s="27">
        <v>240</v>
      </c>
      <c r="K27" s="19"/>
    </row>
    <row r="28" spans="1:11" ht="14.25" customHeight="1" x14ac:dyDescent="0.2">
      <c r="A28" s="22">
        <v>9</v>
      </c>
      <c r="B28" s="164" t="s">
        <v>32</v>
      </c>
      <c r="C28" s="165"/>
      <c r="D28" s="165"/>
      <c r="E28" s="165"/>
      <c r="F28" s="189"/>
      <c r="G28" s="26">
        <v>1</v>
      </c>
      <c r="H28" s="24">
        <v>659</v>
      </c>
      <c r="I28" s="24">
        <v>659</v>
      </c>
      <c r="J28" s="27">
        <v>455</v>
      </c>
      <c r="K28" s="19"/>
    </row>
    <row r="29" spans="1:11" ht="14.25" customHeight="1" x14ac:dyDescent="0.2">
      <c r="A29" s="22">
        <v>10</v>
      </c>
      <c r="B29" s="164" t="s">
        <v>33</v>
      </c>
      <c r="C29" s="165"/>
      <c r="D29" s="165"/>
      <c r="E29" s="165"/>
      <c r="F29" s="189"/>
      <c r="G29" s="26">
        <v>1</v>
      </c>
      <c r="H29" s="24">
        <v>349</v>
      </c>
      <c r="I29" s="24">
        <v>349</v>
      </c>
      <c r="J29" s="27">
        <v>295</v>
      </c>
      <c r="K29" s="19"/>
    </row>
    <row r="30" spans="1:11" ht="14.25" customHeight="1" x14ac:dyDescent="0.2">
      <c r="A30" s="22">
        <v>11</v>
      </c>
      <c r="B30" s="164" t="s">
        <v>34</v>
      </c>
      <c r="C30" s="165"/>
      <c r="D30" s="165"/>
      <c r="E30" s="165"/>
      <c r="F30" s="189"/>
      <c r="G30" s="26">
        <v>1</v>
      </c>
      <c r="H30" s="24">
        <v>599</v>
      </c>
      <c r="I30" s="24">
        <v>599</v>
      </c>
      <c r="J30" s="27">
        <v>459</v>
      </c>
      <c r="K30" s="19"/>
    </row>
    <row r="31" spans="1:11" ht="27.75" customHeight="1" x14ac:dyDescent="0.2">
      <c r="A31" s="22">
        <v>12</v>
      </c>
      <c r="B31" s="164" t="s">
        <v>35</v>
      </c>
      <c r="C31" s="165"/>
      <c r="D31" s="165"/>
      <c r="E31" s="165"/>
      <c r="F31" s="189"/>
      <c r="G31" s="26">
        <v>1</v>
      </c>
      <c r="H31" s="24">
        <v>299</v>
      </c>
      <c r="I31" s="24">
        <v>299</v>
      </c>
      <c r="J31" s="27">
        <v>130</v>
      </c>
      <c r="K31" s="19"/>
    </row>
    <row r="32" spans="1:11" ht="14.25" customHeight="1" x14ac:dyDescent="0.2">
      <c r="A32" s="22">
        <v>13</v>
      </c>
      <c r="B32" s="164" t="s">
        <v>36</v>
      </c>
      <c r="C32" s="165"/>
      <c r="D32" s="165"/>
      <c r="E32" s="165"/>
      <c r="F32" s="189"/>
      <c r="G32" s="26">
        <v>1</v>
      </c>
      <c r="H32" s="24">
        <v>99</v>
      </c>
      <c r="I32" s="24">
        <v>99</v>
      </c>
      <c r="J32" s="27">
        <v>60</v>
      </c>
      <c r="K32" s="19"/>
    </row>
    <row r="33" spans="1:11" ht="14.25" customHeight="1" x14ac:dyDescent="0.2">
      <c r="A33" s="22">
        <v>14</v>
      </c>
      <c r="B33" s="164" t="s">
        <v>37</v>
      </c>
      <c r="C33" s="165"/>
      <c r="D33" s="165"/>
      <c r="E33" s="165"/>
      <c r="F33" s="189"/>
      <c r="G33" s="26">
        <v>1</v>
      </c>
      <c r="H33" s="24">
        <v>289</v>
      </c>
      <c r="I33" s="24">
        <v>289</v>
      </c>
      <c r="J33" s="27">
        <v>189</v>
      </c>
      <c r="K33" s="19"/>
    </row>
    <row r="34" spans="1:11" ht="14.25" customHeight="1" x14ac:dyDescent="0.2">
      <c r="A34" s="22">
        <v>15</v>
      </c>
      <c r="B34" s="164" t="s">
        <v>38</v>
      </c>
      <c r="C34" s="165"/>
      <c r="D34" s="165"/>
      <c r="E34" s="165"/>
      <c r="F34" s="189"/>
      <c r="G34" s="26">
        <v>1</v>
      </c>
      <c r="H34" s="24">
        <v>400</v>
      </c>
      <c r="I34" s="24">
        <v>400</v>
      </c>
      <c r="J34" s="27">
        <v>200</v>
      </c>
      <c r="K34" s="19"/>
    </row>
    <row r="35" spans="1:11" ht="14.25" customHeight="1" x14ac:dyDescent="0.2">
      <c r="A35" s="22"/>
      <c r="B35" s="164"/>
      <c r="C35" s="165"/>
      <c r="D35" s="165"/>
      <c r="E35" s="165"/>
      <c r="F35" s="189"/>
      <c r="G35" s="26"/>
      <c r="H35" s="24"/>
      <c r="I35" s="24"/>
      <c r="J35" s="27"/>
      <c r="K35" s="19"/>
    </row>
    <row r="36" spans="1:11" ht="14.25" customHeight="1" x14ac:dyDescent="0.2">
      <c r="A36" s="22"/>
      <c r="B36" s="164"/>
      <c r="C36" s="165"/>
      <c r="D36" s="165"/>
      <c r="E36" s="165"/>
      <c r="F36" s="189"/>
      <c r="G36" s="26"/>
      <c r="H36" s="24"/>
      <c r="I36" s="24"/>
      <c r="J36" s="27"/>
      <c r="K36" s="19"/>
    </row>
    <row r="37" spans="1:11" ht="14.25" customHeight="1" x14ac:dyDescent="0.2">
      <c r="A37" s="22"/>
      <c r="B37" s="190" t="s">
        <v>39</v>
      </c>
      <c r="C37" s="165"/>
      <c r="D37" s="165"/>
      <c r="E37" s="165"/>
      <c r="F37" s="189"/>
      <c r="G37" s="26"/>
      <c r="H37" s="24"/>
      <c r="I37" s="24"/>
      <c r="J37" s="27"/>
      <c r="K37" s="19"/>
    </row>
    <row r="38" spans="1:11" ht="14.25" customHeight="1" x14ac:dyDescent="0.2">
      <c r="A38" s="22"/>
      <c r="B38" s="166"/>
      <c r="C38" s="165"/>
      <c r="D38" s="165"/>
      <c r="E38" s="165"/>
      <c r="F38" s="189"/>
      <c r="G38" s="26"/>
      <c r="H38" s="24"/>
      <c r="I38" s="24"/>
      <c r="J38" s="27"/>
      <c r="K38" s="19"/>
    </row>
    <row r="39" spans="1:11" ht="14.25" customHeight="1" x14ac:dyDescent="0.2">
      <c r="A39" s="22">
        <v>1</v>
      </c>
      <c r="B39" s="171" t="s">
        <v>76</v>
      </c>
      <c r="C39" s="165"/>
      <c r="D39" s="165"/>
      <c r="E39" s="165"/>
      <c r="F39" s="189"/>
      <c r="G39" s="26">
        <v>3</v>
      </c>
      <c r="H39" s="24">
        <v>3499</v>
      </c>
      <c r="I39" s="24">
        <f>SUM(H39*G39)</f>
        <v>10497</v>
      </c>
      <c r="J39" s="27">
        <v>7650</v>
      </c>
      <c r="K39" s="19"/>
    </row>
    <row r="40" spans="1:11" ht="14.25" customHeight="1" x14ac:dyDescent="0.2">
      <c r="A40" s="22">
        <v>2</v>
      </c>
      <c r="B40" s="164" t="s">
        <v>41</v>
      </c>
      <c r="C40" s="165"/>
      <c r="D40" s="165"/>
      <c r="E40" s="165"/>
      <c r="F40" s="189"/>
      <c r="G40" s="26">
        <v>1</v>
      </c>
      <c r="H40" s="24">
        <v>450</v>
      </c>
      <c r="I40" s="24">
        <v>450</v>
      </c>
      <c r="J40" s="27">
        <v>240</v>
      </c>
      <c r="K40" s="19"/>
    </row>
    <row r="41" spans="1:11" ht="14.25" customHeight="1" x14ac:dyDescent="0.2">
      <c r="A41" s="22">
        <v>3</v>
      </c>
      <c r="B41" s="171" t="s">
        <v>42</v>
      </c>
      <c r="C41" s="165"/>
      <c r="D41" s="165"/>
      <c r="E41" s="165"/>
      <c r="F41" s="189"/>
      <c r="G41" s="26">
        <v>3</v>
      </c>
      <c r="H41" s="24">
        <v>400</v>
      </c>
      <c r="I41" s="24">
        <v>1200</v>
      </c>
      <c r="J41" s="27">
        <v>600</v>
      </c>
      <c r="K41" s="19"/>
    </row>
    <row r="42" spans="1:11" ht="24" customHeight="1" x14ac:dyDescent="0.2">
      <c r="A42" s="22">
        <v>4</v>
      </c>
      <c r="B42" s="164" t="s">
        <v>43</v>
      </c>
      <c r="C42" s="165"/>
      <c r="D42" s="165"/>
      <c r="E42" s="165"/>
      <c r="F42" s="189"/>
      <c r="G42" s="26">
        <v>4</v>
      </c>
      <c r="H42" s="24">
        <v>65</v>
      </c>
      <c r="I42" s="24">
        <v>260</v>
      </c>
      <c r="J42" s="27">
        <v>140</v>
      </c>
      <c r="K42" s="19"/>
    </row>
    <row r="43" spans="1:11" ht="14.25" customHeight="1" x14ac:dyDescent="0.2">
      <c r="A43" s="22"/>
      <c r="B43" s="34"/>
      <c r="C43" s="34"/>
      <c r="D43" s="34"/>
      <c r="E43" s="34"/>
      <c r="F43" s="36"/>
      <c r="G43" s="26"/>
      <c r="H43" s="24"/>
      <c r="I43" s="24"/>
      <c r="J43" s="27"/>
      <c r="K43" s="19"/>
    </row>
    <row r="44" spans="1:11" ht="14.25" customHeight="1" x14ac:dyDescent="0.2">
      <c r="A44" s="22"/>
      <c r="B44" s="34"/>
      <c r="C44" s="34"/>
      <c r="D44" s="34"/>
      <c r="E44" s="34"/>
      <c r="F44" s="36"/>
      <c r="G44" s="26"/>
      <c r="H44" s="24"/>
      <c r="I44" s="24"/>
      <c r="J44" s="27"/>
      <c r="K44" s="19"/>
    </row>
    <row r="45" spans="1:11" ht="14.25" customHeight="1" x14ac:dyDescent="0.2">
      <c r="A45" s="21" t="s">
        <v>16</v>
      </c>
      <c r="B45" s="188" t="s">
        <v>17</v>
      </c>
      <c r="C45" s="168"/>
      <c r="D45" s="168"/>
      <c r="E45" s="168"/>
      <c r="F45" s="169"/>
      <c r="G45" s="10" t="s">
        <v>18</v>
      </c>
      <c r="H45" s="10" t="s">
        <v>19</v>
      </c>
      <c r="I45" s="10" t="s">
        <v>20</v>
      </c>
      <c r="J45" s="27"/>
      <c r="K45" s="19"/>
    </row>
    <row r="46" spans="1:11" ht="14.25" customHeight="1" x14ac:dyDescent="0.2">
      <c r="A46" s="22"/>
      <c r="B46" s="164"/>
      <c r="C46" s="165"/>
      <c r="D46" s="165"/>
      <c r="E46" s="165"/>
      <c r="F46" s="189"/>
      <c r="G46" s="26"/>
      <c r="H46" s="24"/>
      <c r="I46" s="24"/>
      <c r="J46" s="27"/>
      <c r="K46" s="19"/>
    </row>
    <row r="47" spans="1:11" ht="14.25" customHeight="1" x14ac:dyDescent="0.2">
      <c r="A47" s="22"/>
      <c r="B47" s="190" t="s">
        <v>44</v>
      </c>
      <c r="C47" s="165"/>
      <c r="D47" s="165"/>
      <c r="E47" s="165"/>
      <c r="F47" s="189"/>
      <c r="G47" s="26"/>
      <c r="H47" s="24"/>
      <c r="I47" s="24"/>
      <c r="J47" s="27"/>
      <c r="K47" s="19"/>
    </row>
    <row r="48" spans="1:11" ht="14.25" customHeight="1" x14ac:dyDescent="0.2">
      <c r="A48" s="22"/>
      <c r="B48" s="164"/>
      <c r="C48" s="165"/>
      <c r="D48" s="165"/>
      <c r="E48" s="165"/>
      <c r="F48" s="189"/>
      <c r="G48" s="26"/>
      <c r="H48" s="24"/>
      <c r="I48" s="24"/>
      <c r="J48" s="27"/>
      <c r="K48" s="19"/>
    </row>
    <row r="49" spans="1:14" ht="14.25" customHeight="1" x14ac:dyDescent="0.2">
      <c r="A49" s="22">
        <v>1</v>
      </c>
      <c r="B49" s="164" t="s">
        <v>45</v>
      </c>
      <c r="C49" s="165"/>
      <c r="D49" s="165"/>
      <c r="E49" s="165"/>
      <c r="F49" s="189"/>
      <c r="G49" s="26">
        <v>1</v>
      </c>
      <c r="H49" s="24">
        <v>3599</v>
      </c>
      <c r="I49" s="24">
        <v>3599</v>
      </c>
      <c r="J49" s="27">
        <v>2996</v>
      </c>
      <c r="K49" s="19"/>
    </row>
    <row r="50" spans="1:14" ht="14.25" customHeight="1" x14ac:dyDescent="0.2">
      <c r="A50" s="22">
        <v>2</v>
      </c>
      <c r="B50" s="164" t="s">
        <v>46</v>
      </c>
      <c r="C50" s="165"/>
      <c r="D50" s="165"/>
      <c r="E50" s="165"/>
      <c r="F50" s="189"/>
      <c r="G50" s="26">
        <v>1</v>
      </c>
      <c r="H50" s="24">
        <v>859</v>
      </c>
      <c r="I50" s="24">
        <v>859</v>
      </c>
      <c r="J50" s="27">
        <v>500</v>
      </c>
      <c r="K50" s="19"/>
    </row>
    <row r="51" spans="1:14" ht="28.5" customHeight="1" x14ac:dyDescent="0.2">
      <c r="A51" s="22">
        <v>3</v>
      </c>
      <c r="B51" s="164" t="s">
        <v>100</v>
      </c>
      <c r="C51" s="165"/>
      <c r="D51" s="165"/>
      <c r="E51" s="165"/>
      <c r="F51" s="189"/>
      <c r="G51" s="26">
        <v>1</v>
      </c>
      <c r="H51" s="24">
        <v>350</v>
      </c>
      <c r="I51" s="24">
        <v>350</v>
      </c>
      <c r="J51" s="27">
        <v>150</v>
      </c>
      <c r="K51" s="19"/>
    </row>
    <row r="52" spans="1:14" ht="37.5" customHeight="1" x14ac:dyDescent="0.2">
      <c r="A52" s="22">
        <v>4</v>
      </c>
      <c r="B52" s="164" t="s">
        <v>101</v>
      </c>
      <c r="C52" s="165"/>
      <c r="D52" s="165"/>
      <c r="E52" s="165"/>
      <c r="F52" s="189"/>
      <c r="G52" s="26">
        <v>1</v>
      </c>
      <c r="H52" s="24">
        <v>150</v>
      </c>
      <c r="I52" s="24">
        <v>150</v>
      </c>
      <c r="J52" s="27">
        <v>100</v>
      </c>
      <c r="K52" s="19"/>
    </row>
    <row r="53" spans="1:14" ht="14.25" customHeight="1" x14ac:dyDescent="0.2">
      <c r="A53" s="22">
        <v>5</v>
      </c>
      <c r="B53" s="164" t="s">
        <v>49</v>
      </c>
      <c r="C53" s="165"/>
      <c r="D53" s="165"/>
      <c r="E53" s="165"/>
      <c r="F53" s="189"/>
      <c r="G53" s="26">
        <v>1</v>
      </c>
      <c r="H53" s="24">
        <v>200</v>
      </c>
      <c r="I53" s="24">
        <v>200</v>
      </c>
      <c r="J53" s="27">
        <v>100</v>
      </c>
      <c r="K53" s="19"/>
    </row>
    <row r="54" spans="1:14" ht="14.25" customHeight="1" x14ac:dyDescent="0.2">
      <c r="A54" s="22">
        <v>6</v>
      </c>
      <c r="B54" s="164" t="s">
        <v>40</v>
      </c>
      <c r="C54" s="165"/>
      <c r="D54" s="165"/>
      <c r="E54" s="165"/>
      <c r="F54" s="189"/>
      <c r="G54" s="26">
        <v>3</v>
      </c>
      <c r="H54" s="24">
        <v>4899</v>
      </c>
      <c r="I54" s="24">
        <v>14697</v>
      </c>
      <c r="J54" s="27">
        <v>11700</v>
      </c>
      <c r="K54" s="19"/>
    </row>
    <row r="55" spans="1:14" ht="26.25" customHeight="1" x14ac:dyDescent="0.2">
      <c r="A55" s="22">
        <v>7</v>
      </c>
      <c r="B55" s="164" t="s">
        <v>102</v>
      </c>
      <c r="C55" s="165"/>
      <c r="D55" s="165"/>
      <c r="E55" s="165"/>
      <c r="F55" s="189"/>
      <c r="G55" s="26">
        <v>2</v>
      </c>
      <c r="H55" s="24">
        <v>60</v>
      </c>
      <c r="I55" s="24">
        <v>120</v>
      </c>
      <c r="J55" s="27">
        <v>50</v>
      </c>
      <c r="K55" s="19"/>
    </row>
    <row r="56" spans="1:14" ht="22.5" customHeight="1" x14ac:dyDescent="0.2">
      <c r="A56" s="22">
        <v>8</v>
      </c>
      <c r="B56" s="164" t="s">
        <v>43</v>
      </c>
      <c r="C56" s="165"/>
      <c r="D56" s="165"/>
      <c r="E56" s="165"/>
      <c r="F56" s="189"/>
      <c r="G56" s="26">
        <v>4</v>
      </c>
      <c r="H56" s="24">
        <v>65</v>
      </c>
      <c r="I56" s="24">
        <v>260</v>
      </c>
      <c r="J56" s="27">
        <v>140</v>
      </c>
      <c r="K56" s="19"/>
    </row>
    <row r="57" spans="1:14" ht="14.25" customHeight="1" x14ac:dyDescent="0.2">
      <c r="A57" s="22"/>
      <c r="B57" s="164"/>
      <c r="C57" s="165"/>
      <c r="D57" s="165"/>
      <c r="E57" s="165"/>
      <c r="F57" s="189"/>
      <c r="G57" s="26"/>
      <c r="H57" s="24"/>
      <c r="I57" s="24"/>
      <c r="J57" s="27"/>
      <c r="K57" s="19"/>
    </row>
    <row r="58" spans="1:14" ht="14.25" customHeight="1" x14ac:dyDescent="0.2">
      <c r="A58" s="22"/>
      <c r="B58" s="34"/>
      <c r="C58" s="34"/>
      <c r="D58" s="34"/>
      <c r="E58" s="34"/>
      <c r="F58" s="36"/>
      <c r="G58" s="26"/>
      <c r="H58" s="24"/>
      <c r="I58" s="24"/>
      <c r="J58" s="27"/>
      <c r="K58" s="19"/>
    </row>
    <row r="59" spans="1:14" ht="14.25" customHeight="1" x14ac:dyDescent="0.2">
      <c r="A59" s="22"/>
      <c r="B59" s="190" t="s">
        <v>51</v>
      </c>
      <c r="C59" s="165"/>
      <c r="D59" s="165"/>
      <c r="E59" s="165"/>
      <c r="F59" s="189"/>
      <c r="G59" s="26"/>
      <c r="H59" s="24"/>
      <c r="I59" s="24"/>
      <c r="J59" s="27"/>
      <c r="K59" s="19"/>
    </row>
    <row r="60" spans="1:14" ht="14.25" customHeight="1" x14ac:dyDescent="0.2">
      <c r="A60" s="22"/>
      <c r="B60" s="164"/>
      <c r="C60" s="165"/>
      <c r="D60" s="165"/>
      <c r="E60" s="165"/>
      <c r="F60" s="189"/>
      <c r="G60" s="26"/>
      <c r="H60" s="24"/>
      <c r="I60" s="24"/>
      <c r="J60" s="27"/>
      <c r="K60" s="19"/>
    </row>
    <row r="61" spans="1:14" ht="76.5" customHeight="1" x14ac:dyDescent="0.2">
      <c r="A61" s="22">
        <v>1</v>
      </c>
      <c r="B61" s="171" t="s">
        <v>52</v>
      </c>
      <c r="C61" s="165"/>
      <c r="D61" s="165"/>
      <c r="E61" s="165"/>
      <c r="F61" s="189"/>
      <c r="G61" s="26">
        <v>1</v>
      </c>
      <c r="H61" s="37">
        <v>4985</v>
      </c>
      <c r="I61" s="37">
        <v>4985</v>
      </c>
      <c r="J61" s="33">
        <v>4600</v>
      </c>
      <c r="K61" s="19"/>
    </row>
    <row r="62" spans="1:14" ht="26.25" customHeight="1" x14ac:dyDescent="0.2">
      <c r="A62" s="22">
        <v>2</v>
      </c>
      <c r="B62" s="164" t="s">
        <v>53</v>
      </c>
      <c r="C62" s="165"/>
      <c r="D62" s="165"/>
      <c r="E62" s="165"/>
      <c r="F62" s="189"/>
      <c r="G62" s="26">
        <v>1</v>
      </c>
      <c r="H62" s="24">
        <v>400</v>
      </c>
      <c r="I62" s="24">
        <v>400</v>
      </c>
      <c r="J62" s="27">
        <v>400</v>
      </c>
      <c r="K62" s="19"/>
      <c r="L62" s="38" t="s">
        <v>54</v>
      </c>
      <c r="M62" s="39" t="s">
        <v>55</v>
      </c>
      <c r="N62" s="40" t="s">
        <v>56</v>
      </c>
    </row>
    <row r="63" spans="1:14" ht="15" customHeight="1" x14ac:dyDescent="0.2">
      <c r="A63" s="22"/>
      <c r="B63" s="166"/>
      <c r="C63" s="165"/>
      <c r="D63" s="165"/>
      <c r="E63" s="165"/>
      <c r="F63" s="189"/>
      <c r="G63" s="26"/>
      <c r="H63" s="24"/>
      <c r="I63" s="24"/>
      <c r="J63" s="27"/>
      <c r="K63" s="19"/>
      <c r="L63" s="41">
        <f>I72</f>
        <v>45380</v>
      </c>
      <c r="M63" s="42">
        <f>SUM(J16:J68)</f>
        <v>33709</v>
      </c>
      <c r="N63" s="43">
        <f>L63-M63</f>
        <v>11671</v>
      </c>
    </row>
    <row r="64" spans="1:14" ht="14.25" customHeight="1" x14ac:dyDescent="0.2">
      <c r="A64" s="22"/>
      <c r="B64" s="190" t="s">
        <v>57</v>
      </c>
      <c r="C64" s="165"/>
      <c r="D64" s="165"/>
      <c r="E64" s="165"/>
      <c r="F64" s="189"/>
      <c r="G64" s="26"/>
      <c r="H64" s="33"/>
      <c r="I64" s="44"/>
      <c r="J64" s="27"/>
      <c r="K64" s="19"/>
    </row>
    <row r="65" spans="1:26" ht="14.25" customHeight="1" x14ac:dyDescent="0.2">
      <c r="A65" s="22"/>
      <c r="B65" s="25"/>
      <c r="C65" s="35"/>
      <c r="D65" s="35"/>
      <c r="E65" s="35"/>
      <c r="F65" s="45"/>
      <c r="G65" s="26"/>
      <c r="H65" s="33"/>
      <c r="I65" s="44"/>
      <c r="J65" s="27"/>
      <c r="K65" s="19"/>
    </row>
    <row r="66" spans="1:26" ht="14.25" customHeight="1" x14ac:dyDescent="0.2">
      <c r="A66" s="22">
        <v>1</v>
      </c>
      <c r="B66" s="171" t="s">
        <v>58</v>
      </c>
      <c r="C66" s="165"/>
      <c r="D66" s="165"/>
      <c r="E66" s="165"/>
      <c r="F66" s="189"/>
      <c r="G66" s="26">
        <v>1</v>
      </c>
      <c r="H66" s="33">
        <v>800</v>
      </c>
      <c r="I66" s="44">
        <v>800</v>
      </c>
      <c r="J66" s="27">
        <v>400</v>
      </c>
      <c r="K66" s="19"/>
    </row>
    <row r="67" spans="1:26" ht="14.25" customHeight="1" x14ac:dyDescent="0.2">
      <c r="A67" s="22">
        <v>2</v>
      </c>
      <c r="B67" s="171" t="s">
        <v>59</v>
      </c>
      <c r="C67" s="165"/>
      <c r="D67" s="165"/>
      <c r="E67" s="165"/>
      <c r="F67" s="189"/>
      <c r="G67" s="26">
        <v>1</v>
      </c>
      <c r="H67" s="33">
        <v>300</v>
      </c>
      <c r="I67" s="44">
        <v>300</v>
      </c>
      <c r="J67" s="46">
        <v>150</v>
      </c>
      <c r="K67" s="27"/>
    </row>
    <row r="68" spans="1:26" ht="25.5" customHeight="1" x14ac:dyDescent="0.2">
      <c r="A68" s="22">
        <v>3</v>
      </c>
      <c r="B68" s="171" t="s">
        <v>103</v>
      </c>
      <c r="C68" s="165"/>
      <c r="D68" s="165"/>
      <c r="E68" s="165"/>
      <c r="F68" s="189"/>
      <c r="G68" s="26">
        <v>1</v>
      </c>
      <c r="H68" s="33">
        <v>200</v>
      </c>
      <c r="I68" s="44">
        <v>200</v>
      </c>
      <c r="J68" s="27">
        <v>100</v>
      </c>
      <c r="K68" s="19"/>
    </row>
    <row r="69" spans="1:26" ht="25.5" customHeight="1" x14ac:dyDescent="0.2">
      <c r="A69" s="47"/>
      <c r="B69" s="20"/>
      <c r="C69" s="20"/>
      <c r="D69" s="20"/>
      <c r="E69" s="20"/>
      <c r="F69" s="48"/>
      <c r="G69" s="49"/>
      <c r="H69" s="50"/>
      <c r="I69" s="51"/>
      <c r="J69" s="27"/>
      <c r="K69" s="19"/>
    </row>
    <row r="70" spans="1:26" ht="27.75" customHeight="1" x14ac:dyDescent="0.2">
      <c r="A70" s="52"/>
      <c r="B70" s="167" t="s">
        <v>61</v>
      </c>
      <c r="C70" s="168"/>
      <c r="D70" s="168"/>
      <c r="E70" s="168"/>
      <c r="F70" s="169"/>
      <c r="G70" s="170" t="s">
        <v>62</v>
      </c>
      <c r="H70" s="168"/>
      <c r="I70" s="53">
        <f>SUM(I15:I68)</f>
        <v>45580</v>
      </c>
      <c r="J70" s="54"/>
      <c r="K70" s="12" t="s">
        <v>63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24" customHeight="1" x14ac:dyDescent="0.2">
      <c r="A71" s="14"/>
      <c r="B71" s="7"/>
      <c r="C71" s="7"/>
      <c r="D71" s="7"/>
      <c r="E71" s="7"/>
      <c r="F71" s="7"/>
      <c r="G71" s="170" t="s">
        <v>95</v>
      </c>
      <c r="H71" s="168"/>
      <c r="I71" s="60">
        <v>-200</v>
      </c>
      <c r="K71" s="12" t="s">
        <v>65</v>
      </c>
    </row>
    <row r="72" spans="1:26" ht="24" customHeight="1" x14ac:dyDescent="0.2">
      <c r="A72" s="14"/>
      <c r="B72" s="7"/>
      <c r="C72" s="7"/>
      <c r="D72" s="7"/>
      <c r="E72" s="7"/>
      <c r="F72" s="7"/>
      <c r="G72" s="162" t="s">
        <v>66</v>
      </c>
      <c r="H72" s="163"/>
      <c r="I72" s="55">
        <f>I70+I71</f>
        <v>45380</v>
      </c>
    </row>
    <row r="73" spans="1:26" ht="24" customHeight="1" x14ac:dyDescent="0.2">
      <c r="A73" s="14"/>
      <c r="B73" s="7"/>
      <c r="C73" s="7"/>
      <c r="D73" s="7"/>
      <c r="E73" s="7"/>
      <c r="F73" s="7"/>
      <c r="G73" s="56"/>
      <c r="H73" s="56"/>
      <c r="I73" s="57"/>
    </row>
    <row r="74" spans="1:26" ht="14.25" customHeight="1" x14ac:dyDescent="0.2">
      <c r="A74" s="14"/>
      <c r="B74" s="171" t="s">
        <v>67</v>
      </c>
      <c r="C74" s="165"/>
      <c r="D74" s="165"/>
      <c r="E74" s="165"/>
      <c r="F74" s="165"/>
      <c r="G74" s="165"/>
      <c r="H74" s="165"/>
      <c r="I74" s="165"/>
      <c r="K74" s="12" t="s">
        <v>68</v>
      </c>
    </row>
    <row r="75" spans="1:26" ht="14.25" customHeight="1" x14ac:dyDescent="0.2">
      <c r="A75" s="14"/>
      <c r="B75" s="165"/>
      <c r="C75" s="165"/>
      <c r="D75" s="165"/>
      <c r="E75" s="165"/>
      <c r="F75" s="165"/>
      <c r="G75" s="165"/>
      <c r="H75" s="165"/>
      <c r="I75" s="165"/>
      <c r="K75" s="12"/>
    </row>
    <row r="76" spans="1:26" ht="14.25" customHeight="1" x14ac:dyDescent="0.2">
      <c r="A76" s="14"/>
      <c r="B76" s="46" t="s">
        <v>69</v>
      </c>
    </row>
    <row r="77" spans="1:26" ht="14.25" customHeight="1" x14ac:dyDescent="0.2">
      <c r="A77" s="14"/>
      <c r="B77" s="20"/>
      <c r="C77" s="20"/>
      <c r="D77" s="20"/>
      <c r="E77" s="20"/>
      <c r="F77" s="20"/>
      <c r="G77" s="20"/>
      <c r="H77" s="20"/>
      <c r="I77" s="20"/>
    </row>
    <row r="78" spans="1:26" ht="14.25" customHeight="1" x14ac:dyDescent="0.2">
      <c r="A78" s="14"/>
      <c r="B78" s="58"/>
    </row>
    <row r="79" spans="1:26" ht="116.25" customHeight="1" x14ac:dyDescent="0.2">
      <c r="A79" s="14"/>
      <c r="B79" s="7"/>
      <c r="C79" s="7"/>
      <c r="D79" s="7"/>
      <c r="E79" s="7"/>
      <c r="F79" s="7"/>
      <c r="G79" s="164" t="s">
        <v>70</v>
      </c>
      <c r="H79" s="165"/>
      <c r="I79" s="165"/>
    </row>
    <row r="80" spans="1:26" ht="14.25" customHeight="1" x14ac:dyDescent="0.2">
      <c r="A80" s="14"/>
      <c r="B80" s="7"/>
      <c r="C80" s="7"/>
      <c r="D80" s="7"/>
      <c r="E80" s="7"/>
      <c r="F80" s="7"/>
      <c r="G80" s="165"/>
      <c r="H80" s="165"/>
      <c r="I80" s="165"/>
      <c r="K80" s="12" t="s">
        <v>71</v>
      </c>
    </row>
    <row r="81" spans="1:11" ht="14.25" customHeight="1" x14ac:dyDescent="0.2">
      <c r="A81" s="14"/>
      <c r="B81" s="59"/>
      <c r="C81" s="59"/>
      <c r="D81" s="59"/>
      <c r="E81" s="59"/>
      <c r="F81" s="59"/>
      <c r="G81" s="59"/>
      <c r="H81" s="59"/>
      <c r="I81" s="59"/>
      <c r="K81" s="12"/>
    </row>
    <row r="82" spans="1:11" ht="14.25" customHeight="1" x14ac:dyDescent="0.2">
      <c r="A82" s="14"/>
    </row>
    <row r="83" spans="1:11" ht="14.25" customHeight="1" x14ac:dyDescent="0.2">
      <c r="A83" s="14"/>
    </row>
    <row r="84" spans="1:11" ht="14.25" customHeight="1" x14ac:dyDescent="0.2">
      <c r="A84" s="14"/>
    </row>
    <row r="85" spans="1:11" ht="14.25" customHeight="1" x14ac:dyDescent="0.2">
      <c r="A85" s="14"/>
    </row>
    <row r="86" spans="1:11" ht="14.25" customHeight="1" x14ac:dyDescent="0.2">
      <c r="A86" s="14"/>
    </row>
    <row r="87" spans="1:11" ht="14.25" customHeight="1" x14ac:dyDescent="0.2">
      <c r="A87" s="14"/>
    </row>
    <row r="88" spans="1:11" ht="14.25" customHeight="1" x14ac:dyDescent="0.2">
      <c r="A88" s="14"/>
    </row>
    <row r="89" spans="1:11" ht="14.25" customHeight="1" x14ac:dyDescent="0.2">
      <c r="A89" s="14"/>
    </row>
    <row r="90" spans="1:11" ht="14.25" customHeight="1" x14ac:dyDescent="0.2">
      <c r="A90" s="14"/>
    </row>
    <row r="91" spans="1:11" ht="14.25" customHeight="1" x14ac:dyDescent="0.2">
      <c r="A91" s="14"/>
    </row>
    <row r="92" spans="1:11" ht="14.25" customHeight="1" x14ac:dyDescent="0.2">
      <c r="A92" s="14"/>
    </row>
    <row r="93" spans="1:11" ht="14.25" customHeight="1" x14ac:dyDescent="0.2">
      <c r="A93" s="14"/>
    </row>
    <row r="94" spans="1:11" ht="14.25" customHeight="1" x14ac:dyDescent="0.2">
      <c r="A94" s="14"/>
    </row>
    <row r="95" spans="1:11" ht="14.25" customHeight="1" x14ac:dyDescent="0.2">
      <c r="A95" s="14"/>
    </row>
    <row r="96" spans="1:1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67">
    <mergeCell ref="B50:F50"/>
    <mergeCell ref="B51:F51"/>
    <mergeCell ref="B52:F52"/>
    <mergeCell ref="B53:F53"/>
    <mergeCell ref="B54:F54"/>
    <mergeCell ref="B55:F55"/>
    <mergeCell ref="B56:F56"/>
    <mergeCell ref="B57:F57"/>
    <mergeCell ref="B59:F59"/>
    <mergeCell ref="B60:F60"/>
    <mergeCell ref="B61:F61"/>
    <mergeCell ref="B62:F62"/>
    <mergeCell ref="B63:F63"/>
    <mergeCell ref="B64:F64"/>
    <mergeCell ref="G72:H72"/>
    <mergeCell ref="G79:I80"/>
    <mergeCell ref="B66:F66"/>
    <mergeCell ref="B67:F67"/>
    <mergeCell ref="B68:F68"/>
    <mergeCell ref="B70:F70"/>
    <mergeCell ref="G70:H70"/>
    <mergeCell ref="G71:H71"/>
    <mergeCell ref="B74:I75"/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5:F45"/>
    <mergeCell ref="B46:F46"/>
    <mergeCell ref="B47:F47"/>
    <mergeCell ref="B48:F48"/>
    <mergeCell ref="B49:F49"/>
  </mergeCells>
  <hyperlinks>
    <hyperlink ref="K3" r:id="rId1" xr:uid="{00000000-0004-0000-03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15" width="13.25" customWidth="1"/>
    <col min="16" max="16" width="13.75" customWidth="1"/>
    <col min="17" max="17" width="9" customWidth="1"/>
    <col min="18" max="18" width="14.75" customWidth="1"/>
    <col min="19" max="30" width="8.625" customWidth="1"/>
  </cols>
  <sheetData>
    <row r="1" spans="1:11" ht="14.25" customHeight="1" x14ac:dyDescent="0.2">
      <c r="A1" s="2" t="s">
        <v>0</v>
      </c>
      <c r="B1" s="2"/>
      <c r="C1" s="2"/>
      <c r="D1" s="2"/>
      <c r="E1" s="2"/>
      <c r="F1" s="3"/>
      <c r="H1" s="4"/>
      <c r="I1" s="5" t="s">
        <v>1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7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3285</v>
      </c>
      <c r="H5" s="182"/>
      <c r="I5" s="11">
        <v>45252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61"/>
      <c r="B7" s="6"/>
      <c r="C7" s="6"/>
      <c r="D7" s="6"/>
      <c r="E7" s="6"/>
      <c r="F7" s="6"/>
      <c r="G7" s="185"/>
      <c r="H7" s="165"/>
      <c r="I7" s="16"/>
      <c r="K7" s="8"/>
    </row>
    <row r="8" spans="1:11" ht="18" customHeight="1" x14ac:dyDescent="0.2">
      <c r="A8" s="61"/>
      <c r="B8" s="6"/>
      <c r="C8" s="6"/>
      <c r="D8" s="6"/>
      <c r="E8" s="6"/>
      <c r="F8" s="6"/>
      <c r="G8" s="15"/>
      <c r="H8" s="15"/>
      <c r="I8" s="16"/>
      <c r="K8" s="8"/>
    </row>
    <row r="9" spans="1:11" ht="19.5" customHeight="1" x14ac:dyDescent="0.2">
      <c r="A9" s="172" t="s">
        <v>12</v>
      </c>
      <c r="B9" s="173"/>
      <c r="C9" s="173"/>
      <c r="D9" s="174"/>
      <c r="E9" s="6"/>
      <c r="H9" s="17" t="s">
        <v>13</v>
      </c>
      <c r="I9" s="18"/>
      <c r="K9" s="19"/>
    </row>
    <row r="10" spans="1:11" ht="14.25" customHeight="1" x14ac:dyDescent="0.2">
      <c r="A10" s="171" t="s">
        <v>104</v>
      </c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  <c r="H11" s="17"/>
      <c r="I11" s="18"/>
      <c r="K11" s="19"/>
    </row>
    <row r="12" spans="1:11" ht="14.25" customHeight="1" x14ac:dyDescent="0.2">
      <c r="A12" s="165"/>
      <c r="B12" s="165"/>
      <c r="C12" s="165"/>
      <c r="D12" s="165"/>
      <c r="E12" s="6"/>
    </row>
    <row r="13" spans="1:11" ht="10.5" customHeight="1" x14ac:dyDescent="0.2">
      <c r="A13" s="165"/>
      <c r="B13" s="165"/>
      <c r="C13" s="165"/>
      <c r="D13" s="165"/>
      <c r="E13" s="6"/>
    </row>
    <row r="14" spans="1:11" ht="14.25" customHeight="1" x14ac:dyDescent="0.2">
      <c r="A14" s="176" t="s">
        <v>105</v>
      </c>
      <c r="B14" s="165"/>
      <c r="C14" s="165"/>
      <c r="D14" s="165"/>
      <c r="E14" s="6"/>
      <c r="F14" s="6"/>
    </row>
    <row r="15" spans="1:11" ht="14.25" customHeight="1" x14ac:dyDescent="0.2">
      <c r="A15" s="61"/>
      <c r="B15" s="6"/>
      <c r="C15" s="6"/>
      <c r="D15" s="6"/>
      <c r="E15" s="6"/>
      <c r="F15" s="6"/>
      <c r="G15" s="6"/>
      <c r="H15" s="6"/>
      <c r="I15" s="6"/>
      <c r="K15" s="19"/>
    </row>
    <row r="16" spans="1:11" ht="19.5" customHeight="1" x14ac:dyDescent="0.2">
      <c r="A16" s="62" t="s">
        <v>16</v>
      </c>
      <c r="B16" s="203" t="s">
        <v>17</v>
      </c>
      <c r="C16" s="178"/>
      <c r="D16" s="178"/>
      <c r="E16" s="178"/>
      <c r="F16" s="179"/>
      <c r="G16" s="10" t="s">
        <v>18</v>
      </c>
      <c r="H16" s="10" t="s">
        <v>19</v>
      </c>
      <c r="I16" s="10" t="s">
        <v>20</v>
      </c>
      <c r="K16" s="19"/>
    </row>
    <row r="17" spans="1:17" ht="11.25" customHeight="1" x14ac:dyDescent="0.2">
      <c r="A17" s="63"/>
      <c r="B17" s="204"/>
      <c r="C17" s="181"/>
      <c r="D17" s="181"/>
      <c r="E17" s="181"/>
      <c r="F17" s="182"/>
      <c r="G17" s="23"/>
      <c r="H17" s="24"/>
      <c r="I17" s="24"/>
      <c r="K17" s="12"/>
    </row>
    <row r="18" spans="1:17" ht="35.25" customHeight="1" x14ac:dyDescent="0.2">
      <c r="A18" s="64"/>
      <c r="B18" s="198" t="s">
        <v>106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17" ht="14.25" customHeight="1" x14ac:dyDescent="0.2">
      <c r="A19" s="64"/>
      <c r="B19" s="66"/>
      <c r="C19" s="28"/>
      <c r="D19" s="28"/>
      <c r="E19" s="28"/>
      <c r="F19" s="29"/>
      <c r="G19" s="26"/>
      <c r="H19" s="24"/>
      <c r="I19" s="24"/>
      <c r="J19" s="27"/>
      <c r="K19" s="19"/>
    </row>
    <row r="20" spans="1:17" ht="15.75" customHeight="1" x14ac:dyDescent="0.2">
      <c r="A20" s="22">
        <v>1</v>
      </c>
      <c r="B20" s="196" t="s">
        <v>107</v>
      </c>
      <c r="C20" s="165"/>
      <c r="D20" s="165"/>
      <c r="E20" s="165"/>
      <c r="F20" s="189"/>
      <c r="G20" s="32">
        <v>1</v>
      </c>
      <c r="H20" s="68">
        <v>7690</v>
      </c>
      <c r="I20" s="33">
        <v>7690</v>
      </c>
      <c r="J20" s="69">
        <v>7000</v>
      </c>
      <c r="K20" s="19"/>
    </row>
    <row r="21" spans="1:17" ht="15.75" customHeight="1" x14ac:dyDescent="0.2">
      <c r="A21" s="22">
        <v>2</v>
      </c>
      <c r="B21" s="196" t="s">
        <v>108</v>
      </c>
      <c r="C21" s="165"/>
      <c r="D21" s="165"/>
      <c r="E21" s="165"/>
      <c r="F21" s="189"/>
      <c r="G21" s="32">
        <v>1</v>
      </c>
      <c r="H21" s="68">
        <v>1490</v>
      </c>
      <c r="I21" s="68">
        <v>1490</v>
      </c>
      <c r="J21" s="27">
        <v>899</v>
      </c>
    </row>
    <row r="22" spans="1:17" ht="15.75" customHeight="1" x14ac:dyDescent="0.2">
      <c r="A22" s="22">
        <v>3</v>
      </c>
      <c r="B22" s="196" t="s">
        <v>49</v>
      </c>
      <c r="C22" s="165"/>
      <c r="D22" s="165"/>
      <c r="E22" s="165"/>
      <c r="F22" s="189"/>
      <c r="G22" s="32">
        <v>1</v>
      </c>
      <c r="H22" s="68">
        <v>300</v>
      </c>
      <c r="I22" s="68">
        <v>300</v>
      </c>
      <c r="J22" s="27">
        <v>150</v>
      </c>
    </row>
    <row r="23" spans="1:17" ht="29.25" customHeight="1" x14ac:dyDescent="0.2">
      <c r="A23" s="22">
        <v>4</v>
      </c>
      <c r="B23" s="202" t="s">
        <v>109</v>
      </c>
      <c r="C23" s="165"/>
      <c r="D23" s="165"/>
      <c r="E23" s="165"/>
      <c r="F23" s="189"/>
      <c r="G23" s="32">
        <v>1</v>
      </c>
      <c r="H23" s="68">
        <v>450</v>
      </c>
      <c r="I23" s="68">
        <v>450</v>
      </c>
      <c r="J23" s="27">
        <v>250</v>
      </c>
    </row>
    <row r="24" spans="1:17" ht="28.5" customHeight="1" x14ac:dyDescent="0.2">
      <c r="A24" s="22">
        <v>5</v>
      </c>
      <c r="B24" s="196" t="s">
        <v>110</v>
      </c>
      <c r="C24" s="165"/>
      <c r="D24" s="165"/>
      <c r="E24" s="165"/>
      <c r="F24" s="189"/>
      <c r="G24" s="32">
        <v>1</v>
      </c>
      <c r="H24" s="68">
        <v>598</v>
      </c>
      <c r="I24" s="68">
        <v>598</v>
      </c>
      <c r="J24" s="27">
        <v>579</v>
      </c>
    </row>
    <row r="25" spans="1:17" ht="42.75" customHeight="1" x14ac:dyDescent="0.2">
      <c r="A25" s="22">
        <v>6</v>
      </c>
      <c r="B25" s="196" t="s">
        <v>111</v>
      </c>
      <c r="C25" s="165"/>
      <c r="D25" s="165"/>
      <c r="E25" s="165"/>
      <c r="F25" s="189"/>
      <c r="G25" s="32">
        <v>1</v>
      </c>
      <c r="H25" s="33">
        <v>390</v>
      </c>
      <c r="I25" s="33">
        <v>390</v>
      </c>
      <c r="J25" s="27">
        <v>200</v>
      </c>
    </row>
    <row r="26" spans="1:17" ht="76.5" customHeight="1" x14ac:dyDescent="0.2">
      <c r="A26" s="22">
        <v>7</v>
      </c>
      <c r="B26" s="196" t="s">
        <v>112</v>
      </c>
      <c r="C26" s="165"/>
      <c r="D26" s="165"/>
      <c r="E26" s="165"/>
      <c r="F26" s="189"/>
      <c r="G26" s="32">
        <v>1</v>
      </c>
      <c r="H26" s="68">
        <v>7150</v>
      </c>
      <c r="I26" s="68">
        <v>7150</v>
      </c>
      <c r="J26" s="33">
        <v>7000</v>
      </c>
    </row>
    <row r="27" spans="1:17" ht="15.75" customHeight="1" x14ac:dyDescent="0.2">
      <c r="A27" s="22">
        <v>8</v>
      </c>
      <c r="B27" s="197" t="s">
        <v>113</v>
      </c>
      <c r="C27" s="165"/>
      <c r="D27" s="165"/>
      <c r="E27" s="165"/>
      <c r="F27" s="189"/>
      <c r="G27" s="32">
        <v>1</v>
      </c>
      <c r="H27" s="68">
        <v>759</v>
      </c>
      <c r="I27" s="68">
        <v>759</v>
      </c>
      <c r="J27" s="27">
        <v>700</v>
      </c>
      <c r="K27" s="19"/>
    </row>
    <row r="28" spans="1:17" ht="15.75" customHeight="1" x14ac:dyDescent="0.2">
      <c r="A28" s="22">
        <v>9</v>
      </c>
      <c r="B28" s="197" t="s">
        <v>114</v>
      </c>
      <c r="C28" s="165"/>
      <c r="D28" s="165"/>
      <c r="E28" s="165"/>
      <c r="F28" s="189"/>
      <c r="G28" s="32">
        <v>1</v>
      </c>
      <c r="H28" s="68">
        <v>329</v>
      </c>
      <c r="I28" s="68">
        <v>329</v>
      </c>
      <c r="J28" s="27">
        <v>259</v>
      </c>
      <c r="K28" s="19"/>
    </row>
    <row r="29" spans="1:17" ht="15.75" customHeight="1" x14ac:dyDescent="0.2">
      <c r="A29" s="22">
        <v>10</v>
      </c>
      <c r="B29" s="197" t="s">
        <v>115</v>
      </c>
      <c r="C29" s="165"/>
      <c r="D29" s="165"/>
      <c r="E29" s="165"/>
      <c r="F29" s="189"/>
      <c r="G29" s="32">
        <v>1</v>
      </c>
      <c r="H29" s="33">
        <v>269</v>
      </c>
      <c r="I29" s="33">
        <v>269</v>
      </c>
      <c r="J29" s="27">
        <v>150</v>
      </c>
      <c r="K29" s="19"/>
    </row>
    <row r="30" spans="1:17" ht="15.75" customHeight="1" x14ac:dyDescent="0.2">
      <c r="A30" s="22">
        <v>11</v>
      </c>
      <c r="B30" s="197" t="s">
        <v>36</v>
      </c>
      <c r="C30" s="165"/>
      <c r="D30" s="165"/>
      <c r="E30" s="165"/>
      <c r="F30" s="189"/>
      <c r="G30" s="32">
        <v>1</v>
      </c>
      <c r="H30" s="33">
        <v>99</v>
      </c>
      <c r="I30" s="33">
        <v>99</v>
      </c>
      <c r="J30" s="27">
        <v>60</v>
      </c>
      <c r="K30" s="19"/>
    </row>
    <row r="31" spans="1:17" ht="15.75" customHeight="1" x14ac:dyDescent="0.2">
      <c r="A31" s="22">
        <v>12</v>
      </c>
      <c r="B31" s="196" t="s">
        <v>24</v>
      </c>
      <c r="C31" s="165"/>
      <c r="D31" s="165"/>
      <c r="E31" s="165"/>
      <c r="F31" s="189"/>
      <c r="G31" s="32">
        <v>1</v>
      </c>
      <c r="H31" s="33">
        <v>480</v>
      </c>
      <c r="I31" s="33">
        <v>480</v>
      </c>
      <c r="J31" s="27">
        <v>290</v>
      </c>
      <c r="K31" s="19"/>
      <c r="O31" s="38" t="s">
        <v>54</v>
      </c>
      <c r="P31" s="39" t="s">
        <v>55</v>
      </c>
      <c r="Q31" s="40" t="s">
        <v>56</v>
      </c>
    </row>
    <row r="32" spans="1:17" ht="15.75" customHeight="1" x14ac:dyDescent="0.2">
      <c r="A32" s="22">
        <v>13</v>
      </c>
      <c r="B32" s="196" t="s">
        <v>25</v>
      </c>
      <c r="C32" s="165"/>
      <c r="D32" s="165"/>
      <c r="E32" s="165"/>
      <c r="F32" s="189"/>
      <c r="G32" s="32">
        <v>1</v>
      </c>
      <c r="H32" s="33">
        <v>490</v>
      </c>
      <c r="I32" s="33">
        <v>490</v>
      </c>
      <c r="J32" s="27">
        <v>300</v>
      </c>
      <c r="K32" s="19"/>
      <c r="O32" s="41">
        <f>I61</f>
        <v>24764</v>
      </c>
      <c r="P32" s="42">
        <f>SUM(J18:J58)</f>
        <v>20187</v>
      </c>
      <c r="Q32" s="43">
        <f>O32-P32</f>
        <v>4577</v>
      </c>
    </row>
    <row r="33" spans="1:11" ht="15.75" customHeight="1" x14ac:dyDescent="0.2">
      <c r="A33" s="22">
        <v>14</v>
      </c>
      <c r="B33" s="197" t="s">
        <v>29</v>
      </c>
      <c r="C33" s="165"/>
      <c r="D33" s="165"/>
      <c r="E33" s="165"/>
      <c r="F33" s="189"/>
      <c r="G33" s="32">
        <v>1</v>
      </c>
      <c r="H33" s="33">
        <v>150</v>
      </c>
      <c r="I33" s="33">
        <v>150</v>
      </c>
      <c r="J33" s="27">
        <v>100</v>
      </c>
      <c r="K33" s="19"/>
    </row>
    <row r="34" spans="1:11" ht="27" customHeight="1" x14ac:dyDescent="0.2">
      <c r="A34" s="22">
        <v>15</v>
      </c>
      <c r="B34" s="196" t="s">
        <v>116</v>
      </c>
      <c r="C34" s="165"/>
      <c r="D34" s="165"/>
      <c r="E34" s="165"/>
      <c r="F34" s="189"/>
      <c r="G34" s="32">
        <v>1</v>
      </c>
      <c r="H34" s="33">
        <v>600</v>
      </c>
      <c r="I34" s="33">
        <v>600</v>
      </c>
      <c r="J34" s="27">
        <v>400</v>
      </c>
      <c r="K34" s="19"/>
    </row>
    <row r="35" spans="1:11" ht="15.75" customHeight="1" x14ac:dyDescent="0.2">
      <c r="A35" s="22">
        <v>16</v>
      </c>
      <c r="B35" s="196" t="s">
        <v>27</v>
      </c>
      <c r="C35" s="165"/>
      <c r="D35" s="165"/>
      <c r="E35" s="165"/>
      <c r="F35" s="189"/>
      <c r="G35" s="32">
        <v>5</v>
      </c>
      <c r="H35" s="33">
        <v>190</v>
      </c>
      <c r="I35" s="33">
        <v>950</v>
      </c>
      <c r="J35" s="27">
        <v>600</v>
      </c>
      <c r="K35" s="19"/>
    </row>
    <row r="36" spans="1:11" ht="14.25" customHeight="1" x14ac:dyDescent="0.2">
      <c r="A36" s="64"/>
      <c r="B36" s="67"/>
      <c r="C36" s="20"/>
      <c r="D36" s="20"/>
      <c r="E36" s="20"/>
      <c r="F36" s="48"/>
      <c r="G36" s="32"/>
      <c r="H36" s="33"/>
      <c r="I36" s="33"/>
      <c r="J36" s="27"/>
      <c r="K36" s="19"/>
    </row>
    <row r="37" spans="1:11" ht="14.25" customHeight="1" x14ac:dyDescent="0.2">
      <c r="A37" s="71"/>
      <c r="B37" s="20"/>
      <c r="C37" s="20"/>
      <c r="D37" s="20"/>
      <c r="E37" s="20"/>
      <c r="F37" s="20"/>
      <c r="G37" s="72"/>
      <c r="H37" s="73"/>
      <c r="I37" s="73"/>
      <c r="J37" s="27"/>
      <c r="K37" s="19"/>
    </row>
    <row r="38" spans="1:11" ht="14.25" customHeight="1" x14ac:dyDescent="0.2">
      <c r="A38" s="71"/>
      <c r="B38" s="20"/>
      <c r="C38" s="20"/>
      <c r="D38" s="20"/>
      <c r="E38" s="20"/>
      <c r="F38" s="20"/>
      <c r="G38" s="72"/>
      <c r="H38" s="73"/>
      <c r="I38" s="73"/>
      <c r="J38" s="27"/>
      <c r="K38" s="19"/>
    </row>
    <row r="39" spans="1:11" ht="14.25" customHeight="1" x14ac:dyDescent="0.2">
      <c r="A39" s="71"/>
      <c r="B39" s="20"/>
      <c r="C39" s="20"/>
      <c r="D39" s="20"/>
      <c r="E39" s="20"/>
      <c r="F39" s="20"/>
      <c r="G39" s="72"/>
      <c r="H39" s="73"/>
      <c r="I39" s="73"/>
      <c r="J39" s="27"/>
      <c r="K39" s="19"/>
    </row>
    <row r="40" spans="1:11" ht="14.25" customHeight="1" x14ac:dyDescent="0.2">
      <c r="A40" s="71"/>
      <c r="B40" s="20"/>
      <c r="C40" s="20"/>
      <c r="D40" s="20"/>
      <c r="E40" s="20"/>
      <c r="F40" s="20"/>
      <c r="G40" s="72"/>
      <c r="H40" s="73"/>
      <c r="I40" s="73"/>
      <c r="J40" s="27"/>
      <c r="K40" s="19"/>
    </row>
    <row r="41" spans="1:11" ht="14.25" customHeight="1" x14ac:dyDescent="0.2">
      <c r="A41" s="71"/>
      <c r="B41" s="20"/>
      <c r="C41" s="20"/>
      <c r="D41" s="20"/>
      <c r="E41" s="20"/>
      <c r="F41" s="20"/>
      <c r="G41" s="72"/>
      <c r="H41" s="73"/>
      <c r="I41" s="73"/>
      <c r="J41" s="27"/>
      <c r="K41" s="19"/>
    </row>
    <row r="42" spans="1:11" ht="14.25" customHeight="1" x14ac:dyDescent="0.2">
      <c r="A42" s="71"/>
      <c r="B42" s="20"/>
      <c r="C42" s="20"/>
      <c r="D42" s="20"/>
      <c r="E42" s="20"/>
      <c r="F42" s="20"/>
      <c r="G42" s="72"/>
      <c r="H42" s="73"/>
      <c r="I42" s="73"/>
      <c r="J42" s="27"/>
      <c r="K42" s="19"/>
    </row>
    <row r="43" spans="1:11" ht="14.25" customHeight="1" x14ac:dyDescent="0.2">
      <c r="A43" s="71"/>
      <c r="B43" s="20"/>
      <c r="C43" s="20"/>
      <c r="D43" s="20"/>
      <c r="E43" s="20"/>
      <c r="F43" s="20"/>
      <c r="G43" s="72"/>
      <c r="H43" s="73"/>
      <c r="I43" s="73"/>
      <c r="J43" s="27"/>
      <c r="K43" s="19"/>
    </row>
    <row r="44" spans="1:11" ht="14.25" customHeight="1" x14ac:dyDescent="0.2">
      <c r="A44" s="71"/>
      <c r="B44" s="20"/>
      <c r="C44" s="20"/>
      <c r="D44" s="20"/>
      <c r="E44" s="20"/>
      <c r="F44" s="20"/>
      <c r="G44" s="72"/>
      <c r="H44" s="73"/>
      <c r="I44" s="73"/>
      <c r="J44" s="27"/>
      <c r="K44" s="19"/>
    </row>
    <row r="45" spans="1:11" ht="14.25" customHeight="1" x14ac:dyDescent="0.2">
      <c r="A45" s="71"/>
      <c r="B45" s="20"/>
      <c r="C45" s="20"/>
      <c r="D45" s="20"/>
      <c r="E45" s="20"/>
      <c r="F45" s="20"/>
      <c r="G45" s="72"/>
      <c r="H45" s="73"/>
      <c r="I45" s="73"/>
      <c r="J45" s="27"/>
      <c r="K45" s="19"/>
    </row>
    <row r="46" spans="1:11" ht="14.25" customHeight="1" x14ac:dyDescent="0.2">
      <c r="A46" s="71"/>
      <c r="B46" s="20"/>
      <c r="C46" s="20"/>
      <c r="D46" s="20"/>
      <c r="E46" s="20"/>
      <c r="F46" s="20"/>
      <c r="G46" s="72"/>
      <c r="H46" s="73"/>
      <c r="I46" s="73"/>
      <c r="J46" s="27"/>
      <c r="K46" s="19"/>
    </row>
    <row r="47" spans="1:11" ht="14.25" customHeight="1" x14ac:dyDescent="0.2">
      <c r="A47" s="71"/>
      <c r="B47" s="20"/>
      <c r="C47" s="20"/>
      <c r="D47" s="20"/>
      <c r="E47" s="20"/>
      <c r="F47" s="20"/>
      <c r="G47" s="72"/>
      <c r="H47" s="73"/>
      <c r="I47" s="73"/>
      <c r="J47" s="27"/>
      <c r="K47" s="19"/>
    </row>
    <row r="48" spans="1:11" ht="39.75" customHeight="1" x14ac:dyDescent="0.2">
      <c r="A48" s="22">
        <v>17</v>
      </c>
      <c r="B48" s="196" t="s">
        <v>117</v>
      </c>
      <c r="C48" s="165"/>
      <c r="D48" s="165"/>
      <c r="E48" s="165"/>
      <c r="F48" s="189"/>
      <c r="G48" s="32">
        <v>1</v>
      </c>
      <c r="H48" s="33">
        <v>290</v>
      </c>
      <c r="I48" s="33">
        <v>290</v>
      </c>
      <c r="J48" s="27">
        <v>150</v>
      </c>
      <c r="K48" s="19"/>
    </row>
    <row r="49" spans="1:30" ht="41.25" customHeight="1" x14ac:dyDescent="0.2">
      <c r="A49" s="22">
        <v>18</v>
      </c>
      <c r="B49" s="196" t="s">
        <v>118</v>
      </c>
      <c r="C49" s="165"/>
      <c r="D49" s="165"/>
      <c r="E49" s="165"/>
      <c r="F49" s="189"/>
      <c r="G49" s="32">
        <v>1</v>
      </c>
      <c r="H49" s="33">
        <v>290</v>
      </c>
      <c r="I49" s="33">
        <v>290</v>
      </c>
      <c r="J49" s="27">
        <v>150</v>
      </c>
      <c r="K49" s="19"/>
    </row>
    <row r="50" spans="1:30" ht="42" customHeight="1" x14ac:dyDescent="0.2">
      <c r="A50" s="22">
        <v>19</v>
      </c>
      <c r="B50" s="197" t="s">
        <v>119</v>
      </c>
      <c r="C50" s="165"/>
      <c r="D50" s="165"/>
      <c r="E50" s="165"/>
      <c r="F50" s="189"/>
      <c r="G50" s="32">
        <v>1</v>
      </c>
      <c r="H50" s="33">
        <v>290</v>
      </c>
      <c r="I50" s="33">
        <v>290</v>
      </c>
      <c r="J50" s="74">
        <v>150</v>
      </c>
      <c r="K50" s="19"/>
    </row>
    <row r="51" spans="1:30" ht="15.75" customHeight="1" x14ac:dyDescent="0.2">
      <c r="A51" s="22">
        <v>20</v>
      </c>
      <c r="B51" s="197" t="s">
        <v>58</v>
      </c>
      <c r="C51" s="165"/>
      <c r="D51" s="165"/>
      <c r="E51" s="165"/>
      <c r="F51" s="189"/>
      <c r="G51" s="32">
        <v>1</v>
      </c>
      <c r="H51" s="33">
        <v>900</v>
      </c>
      <c r="I51" s="33">
        <v>900</v>
      </c>
      <c r="J51" s="27">
        <v>450</v>
      </c>
      <c r="K51" s="19"/>
    </row>
    <row r="52" spans="1:30" ht="15.75" customHeight="1" x14ac:dyDescent="0.2">
      <c r="A52" s="22">
        <v>21</v>
      </c>
      <c r="B52" s="197" t="s">
        <v>120</v>
      </c>
      <c r="C52" s="165"/>
      <c r="D52" s="165"/>
      <c r="E52" s="165"/>
      <c r="F52" s="189"/>
      <c r="G52" s="32">
        <v>1</v>
      </c>
      <c r="H52" s="33">
        <v>500</v>
      </c>
      <c r="I52" s="44">
        <v>500</v>
      </c>
      <c r="J52" s="27">
        <v>200</v>
      </c>
      <c r="K52" s="19"/>
    </row>
    <row r="53" spans="1:30" ht="14.25" customHeight="1" x14ac:dyDescent="0.2">
      <c r="A53" s="22"/>
      <c r="B53" s="70"/>
      <c r="C53" s="34"/>
      <c r="D53" s="34"/>
      <c r="E53" s="34"/>
      <c r="F53" s="36"/>
      <c r="G53" s="32"/>
      <c r="H53" s="33"/>
      <c r="I53" s="33"/>
      <c r="J53" s="27"/>
      <c r="K53" s="19"/>
    </row>
    <row r="54" spans="1:30" ht="14.25" customHeight="1" x14ac:dyDescent="0.2">
      <c r="A54" s="22"/>
      <c r="B54" s="198" t="s">
        <v>57</v>
      </c>
      <c r="C54" s="165"/>
      <c r="D54" s="165"/>
      <c r="E54" s="165"/>
      <c r="F54" s="189"/>
      <c r="G54" s="32"/>
      <c r="H54" s="33"/>
      <c r="I54" s="44"/>
      <c r="J54" s="27"/>
      <c r="K54" s="19"/>
    </row>
    <row r="55" spans="1:30" ht="14.25" customHeight="1" x14ac:dyDescent="0.2">
      <c r="A55" s="22"/>
      <c r="B55" s="65"/>
      <c r="C55" s="35"/>
      <c r="D55" s="35"/>
      <c r="E55" s="35"/>
      <c r="F55" s="45"/>
      <c r="G55" s="32"/>
      <c r="H55" s="33"/>
      <c r="I55" s="44"/>
      <c r="J55" s="27"/>
      <c r="K55" s="19"/>
    </row>
    <row r="56" spans="1:30" ht="14.25" customHeight="1" x14ac:dyDescent="0.2">
      <c r="A56" s="22">
        <v>1</v>
      </c>
      <c r="B56" s="196" t="s">
        <v>59</v>
      </c>
      <c r="C56" s="165"/>
      <c r="D56" s="165"/>
      <c r="E56" s="165"/>
      <c r="F56" s="189"/>
      <c r="G56" s="32">
        <v>1</v>
      </c>
      <c r="H56" s="33">
        <v>300</v>
      </c>
      <c r="I56" s="44">
        <v>300</v>
      </c>
      <c r="J56" s="27">
        <v>150</v>
      </c>
      <c r="K56" s="19"/>
    </row>
    <row r="57" spans="1:30" ht="14.25" customHeight="1" x14ac:dyDescent="0.2">
      <c r="A57" s="64"/>
      <c r="B57" s="70"/>
      <c r="C57" s="34"/>
      <c r="D57" s="34"/>
      <c r="E57" s="34"/>
      <c r="F57" s="36"/>
      <c r="G57" s="32"/>
      <c r="H57" s="33"/>
      <c r="I57" s="33"/>
      <c r="J57" s="27"/>
      <c r="K57" s="19"/>
      <c r="AD57" s="19"/>
    </row>
    <row r="58" spans="1:30" ht="14.25" customHeight="1" x14ac:dyDescent="0.2">
      <c r="A58" s="75"/>
      <c r="B58" s="199"/>
      <c r="C58" s="200"/>
      <c r="D58" s="200"/>
      <c r="E58" s="200"/>
      <c r="F58" s="201"/>
      <c r="G58" s="26"/>
      <c r="H58" s="33"/>
      <c r="I58" s="44"/>
      <c r="J58" s="27"/>
      <c r="K58" s="19"/>
    </row>
    <row r="59" spans="1:30" ht="27.75" customHeight="1" x14ac:dyDescent="0.2">
      <c r="A59" s="76"/>
      <c r="B59" s="167" t="s">
        <v>61</v>
      </c>
      <c r="C59" s="168"/>
      <c r="D59" s="168"/>
      <c r="E59" s="168"/>
      <c r="F59" s="169"/>
      <c r="G59" s="170" t="s">
        <v>62</v>
      </c>
      <c r="H59" s="168"/>
      <c r="I59" s="53">
        <f>SUM(I17:I58)</f>
        <v>24764</v>
      </c>
      <c r="J59" s="54"/>
      <c r="K59" s="12" t="s">
        <v>63</v>
      </c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 ht="24" customHeight="1" x14ac:dyDescent="0.2">
      <c r="A60" s="61"/>
      <c r="B60" s="7"/>
      <c r="C60" s="7"/>
      <c r="D60" s="7"/>
      <c r="E60" s="7"/>
      <c r="F60" s="7"/>
      <c r="G60" s="170" t="s">
        <v>64</v>
      </c>
      <c r="H60" s="168"/>
      <c r="I60" s="53">
        <v>0</v>
      </c>
      <c r="K60" s="12" t="s">
        <v>65</v>
      </c>
    </row>
    <row r="61" spans="1:30" ht="24" customHeight="1" x14ac:dyDescent="0.2">
      <c r="A61" s="61"/>
      <c r="B61" s="7"/>
      <c r="C61" s="7"/>
      <c r="D61" s="7"/>
      <c r="E61" s="7"/>
      <c r="F61" s="7"/>
      <c r="G61" s="162" t="s">
        <v>66</v>
      </c>
      <c r="H61" s="163"/>
      <c r="I61" s="55">
        <f>I59+I60</f>
        <v>24764</v>
      </c>
    </row>
    <row r="62" spans="1:30" ht="24" customHeight="1" x14ac:dyDescent="0.2">
      <c r="A62" s="61"/>
      <c r="B62" s="7"/>
      <c r="C62" s="7"/>
      <c r="D62" s="7"/>
      <c r="E62" s="7"/>
      <c r="F62" s="7"/>
      <c r="G62" s="56"/>
      <c r="H62" s="56"/>
      <c r="I62" s="57"/>
    </row>
    <row r="63" spans="1:30" ht="14.25" customHeight="1" x14ac:dyDescent="0.2">
      <c r="A63" s="61"/>
      <c r="B63" s="171" t="s">
        <v>67</v>
      </c>
      <c r="C63" s="165"/>
      <c r="D63" s="165"/>
      <c r="E63" s="165"/>
      <c r="F63" s="165"/>
      <c r="G63" s="165"/>
      <c r="H63" s="165"/>
      <c r="I63" s="165"/>
      <c r="K63" s="12" t="s">
        <v>68</v>
      </c>
    </row>
    <row r="64" spans="1:30" ht="14.25" customHeight="1" x14ac:dyDescent="0.2">
      <c r="A64" s="61"/>
      <c r="B64" s="165"/>
      <c r="C64" s="165"/>
      <c r="D64" s="165"/>
      <c r="E64" s="165"/>
      <c r="F64" s="165"/>
      <c r="G64" s="165"/>
      <c r="H64" s="165"/>
      <c r="I64" s="165"/>
      <c r="K64" s="12"/>
    </row>
    <row r="65" spans="1:11" ht="14.25" customHeight="1" x14ac:dyDescent="0.2">
      <c r="A65" s="61"/>
      <c r="B65" s="46" t="s">
        <v>69</v>
      </c>
    </row>
    <row r="66" spans="1:11" ht="14.25" customHeight="1" x14ac:dyDescent="0.2">
      <c r="A66" s="61"/>
      <c r="B66" s="20"/>
      <c r="C66" s="20"/>
      <c r="D66" s="20"/>
      <c r="E66" s="20"/>
      <c r="F66" s="20"/>
      <c r="G66" s="20"/>
      <c r="H66" s="20"/>
      <c r="I66" s="20"/>
    </row>
    <row r="67" spans="1:11" ht="14.25" customHeight="1" x14ac:dyDescent="0.2">
      <c r="A67" s="61"/>
      <c r="B67" s="58"/>
    </row>
    <row r="68" spans="1:11" ht="116.25" customHeight="1" x14ac:dyDescent="0.2">
      <c r="A68" s="61"/>
      <c r="B68" s="7"/>
      <c r="C68" s="7"/>
      <c r="D68" s="7"/>
      <c r="E68" s="7"/>
      <c r="F68" s="7"/>
      <c r="G68" s="164" t="s">
        <v>70</v>
      </c>
      <c r="H68" s="165"/>
      <c r="I68" s="165"/>
    </row>
    <row r="69" spans="1:11" ht="14.25" customHeight="1" x14ac:dyDescent="0.2">
      <c r="A69" s="61"/>
      <c r="B69" s="7"/>
      <c r="C69" s="7"/>
      <c r="D69" s="7"/>
      <c r="E69" s="7"/>
      <c r="F69" s="7"/>
      <c r="G69" s="165"/>
      <c r="H69" s="165"/>
      <c r="I69" s="165"/>
      <c r="K69" s="12" t="s">
        <v>71</v>
      </c>
    </row>
    <row r="70" spans="1:11" ht="14.25" customHeight="1" x14ac:dyDescent="0.2">
      <c r="A70" s="61"/>
      <c r="B70" s="59"/>
      <c r="C70" s="59"/>
      <c r="D70" s="59"/>
      <c r="E70" s="59"/>
      <c r="F70" s="59"/>
      <c r="G70" s="59"/>
      <c r="H70" s="59"/>
      <c r="I70" s="59"/>
      <c r="K70" s="12"/>
    </row>
    <row r="71" spans="1:11" ht="14.25" customHeight="1" x14ac:dyDescent="0.2">
      <c r="A71" s="61"/>
    </row>
    <row r="72" spans="1:11" ht="14.25" customHeight="1" x14ac:dyDescent="0.2">
      <c r="A72" s="61"/>
    </row>
    <row r="73" spans="1:11" ht="14.25" customHeight="1" x14ac:dyDescent="0.2">
      <c r="A73" s="61"/>
    </row>
    <row r="74" spans="1:11" ht="14.25" customHeight="1" x14ac:dyDescent="0.2">
      <c r="A74" s="61"/>
    </row>
    <row r="75" spans="1:11" ht="14.25" customHeight="1" x14ac:dyDescent="0.2">
      <c r="A75" s="61"/>
    </row>
    <row r="76" spans="1:11" ht="14.25" customHeight="1" x14ac:dyDescent="0.2">
      <c r="A76" s="61"/>
    </row>
    <row r="77" spans="1:11" ht="14.25" customHeight="1" x14ac:dyDescent="0.2">
      <c r="A77" s="61"/>
    </row>
    <row r="78" spans="1:11" ht="14.25" customHeight="1" x14ac:dyDescent="0.2">
      <c r="A78" s="61"/>
    </row>
    <row r="79" spans="1:11" ht="14.25" customHeight="1" x14ac:dyDescent="0.2">
      <c r="A79" s="61"/>
    </row>
    <row r="80" spans="1:11" ht="14.25" customHeight="1" x14ac:dyDescent="0.2">
      <c r="A80" s="61"/>
    </row>
    <row r="81" spans="1:1" ht="14.25" customHeight="1" x14ac:dyDescent="0.2">
      <c r="A81" s="61"/>
    </row>
    <row r="82" spans="1:1" ht="14.25" customHeight="1" x14ac:dyDescent="0.2">
      <c r="A82" s="61"/>
    </row>
    <row r="83" spans="1:1" ht="14.25" customHeight="1" x14ac:dyDescent="0.2">
      <c r="A83" s="61"/>
    </row>
    <row r="84" spans="1:1" ht="14.25" customHeight="1" x14ac:dyDescent="0.2">
      <c r="A84" s="61"/>
    </row>
    <row r="85" spans="1:1" ht="14.25" customHeight="1" x14ac:dyDescent="0.2">
      <c r="A85" s="61"/>
    </row>
    <row r="86" spans="1:1" ht="14.25" customHeight="1" x14ac:dyDescent="0.2">
      <c r="A86" s="61"/>
    </row>
    <row r="87" spans="1:1" ht="14.25" customHeight="1" x14ac:dyDescent="0.2">
      <c r="A87" s="61"/>
    </row>
    <row r="88" spans="1:1" ht="14.25" customHeight="1" x14ac:dyDescent="0.2">
      <c r="A88" s="61"/>
    </row>
    <row r="89" spans="1:1" ht="14.25" customHeight="1" x14ac:dyDescent="0.2">
      <c r="A89" s="61"/>
    </row>
    <row r="90" spans="1:1" ht="14.25" customHeight="1" x14ac:dyDescent="0.2">
      <c r="A90" s="61"/>
    </row>
    <row r="91" spans="1:1" ht="14.25" customHeight="1" x14ac:dyDescent="0.2">
      <c r="A91" s="61"/>
    </row>
    <row r="92" spans="1:1" ht="14.25" customHeight="1" x14ac:dyDescent="0.2">
      <c r="A92" s="61"/>
    </row>
    <row r="93" spans="1:1" ht="14.25" customHeight="1" x14ac:dyDescent="0.2">
      <c r="A93" s="61"/>
    </row>
    <row r="94" spans="1:1" ht="14.25" customHeight="1" x14ac:dyDescent="0.2">
      <c r="A94" s="61"/>
    </row>
    <row r="95" spans="1:1" ht="14.25" customHeight="1" x14ac:dyDescent="0.2">
      <c r="A95" s="61"/>
    </row>
    <row r="96" spans="1:1" ht="14.25" customHeight="1" x14ac:dyDescent="0.2">
      <c r="A96" s="61"/>
    </row>
    <row r="97" spans="1:1" ht="14.25" customHeight="1" x14ac:dyDescent="0.2">
      <c r="A97" s="61"/>
    </row>
    <row r="98" spans="1:1" ht="14.25" customHeight="1" x14ac:dyDescent="0.2">
      <c r="A98" s="61"/>
    </row>
    <row r="99" spans="1:1" ht="14.25" customHeight="1" x14ac:dyDescent="0.2">
      <c r="A99" s="61"/>
    </row>
    <row r="100" spans="1:1" ht="14.25" customHeight="1" x14ac:dyDescent="0.2">
      <c r="A100" s="61"/>
    </row>
    <row r="101" spans="1:1" ht="14.25" customHeight="1" x14ac:dyDescent="0.2">
      <c r="A101" s="61"/>
    </row>
    <row r="102" spans="1:1" ht="14.25" customHeight="1" x14ac:dyDescent="0.2">
      <c r="A102" s="61"/>
    </row>
    <row r="103" spans="1:1" ht="14.25" customHeight="1" x14ac:dyDescent="0.2">
      <c r="A103" s="61"/>
    </row>
    <row r="104" spans="1:1" ht="14.25" customHeight="1" x14ac:dyDescent="0.2">
      <c r="A104" s="61"/>
    </row>
    <row r="105" spans="1:1" ht="14.25" customHeight="1" x14ac:dyDescent="0.2">
      <c r="A105" s="61"/>
    </row>
    <row r="106" spans="1:1" ht="14.25" customHeight="1" x14ac:dyDescent="0.2">
      <c r="A106" s="61"/>
    </row>
    <row r="107" spans="1:1" ht="14.25" customHeight="1" x14ac:dyDescent="0.2">
      <c r="A107" s="61"/>
    </row>
    <row r="108" spans="1:1" ht="14.25" customHeight="1" x14ac:dyDescent="0.2">
      <c r="A108" s="61"/>
    </row>
    <row r="109" spans="1:1" ht="14.25" customHeight="1" x14ac:dyDescent="0.2">
      <c r="A109" s="61"/>
    </row>
    <row r="110" spans="1:1" ht="14.25" customHeight="1" x14ac:dyDescent="0.2">
      <c r="A110" s="61"/>
    </row>
    <row r="111" spans="1:1" ht="14.25" customHeight="1" x14ac:dyDescent="0.2">
      <c r="A111" s="61"/>
    </row>
    <row r="112" spans="1:1" ht="14.25" customHeight="1" x14ac:dyDescent="0.2">
      <c r="A112" s="61"/>
    </row>
    <row r="113" spans="1:1" ht="14.25" customHeight="1" x14ac:dyDescent="0.2">
      <c r="A113" s="61"/>
    </row>
    <row r="114" spans="1:1" ht="14.25" customHeight="1" x14ac:dyDescent="0.2">
      <c r="A114" s="61"/>
    </row>
    <row r="115" spans="1:1" ht="14.25" customHeight="1" x14ac:dyDescent="0.2">
      <c r="A115" s="61"/>
    </row>
    <row r="116" spans="1:1" ht="14.25" customHeight="1" x14ac:dyDescent="0.2">
      <c r="A116" s="61"/>
    </row>
    <row r="117" spans="1:1" ht="14.25" customHeight="1" x14ac:dyDescent="0.2">
      <c r="A117" s="61"/>
    </row>
    <row r="118" spans="1:1" ht="14.25" customHeight="1" x14ac:dyDescent="0.2">
      <c r="A118" s="61"/>
    </row>
    <row r="119" spans="1:1" ht="14.25" customHeight="1" x14ac:dyDescent="0.2">
      <c r="A119" s="61"/>
    </row>
    <row r="120" spans="1:1" ht="14.25" customHeight="1" x14ac:dyDescent="0.2">
      <c r="A120" s="61"/>
    </row>
    <row r="121" spans="1:1" ht="14.25" customHeight="1" x14ac:dyDescent="0.2">
      <c r="A121" s="61"/>
    </row>
    <row r="122" spans="1:1" ht="14.25" customHeight="1" x14ac:dyDescent="0.2">
      <c r="A122" s="61"/>
    </row>
    <row r="123" spans="1:1" ht="14.25" customHeight="1" x14ac:dyDescent="0.2">
      <c r="A123" s="61"/>
    </row>
    <row r="124" spans="1:1" ht="14.25" customHeight="1" x14ac:dyDescent="0.2">
      <c r="A124" s="61"/>
    </row>
    <row r="125" spans="1:1" ht="14.25" customHeight="1" x14ac:dyDescent="0.2">
      <c r="A125" s="61"/>
    </row>
    <row r="126" spans="1:1" ht="14.25" customHeight="1" x14ac:dyDescent="0.2">
      <c r="A126" s="61"/>
    </row>
    <row r="127" spans="1:1" ht="14.25" customHeight="1" x14ac:dyDescent="0.2">
      <c r="A127" s="61"/>
    </row>
    <row r="128" spans="1:1" ht="14.25" customHeight="1" x14ac:dyDescent="0.2">
      <c r="A128" s="61"/>
    </row>
    <row r="129" spans="1:1" ht="14.25" customHeight="1" x14ac:dyDescent="0.2">
      <c r="A129" s="61"/>
    </row>
    <row r="130" spans="1:1" ht="14.25" customHeight="1" x14ac:dyDescent="0.2">
      <c r="A130" s="61"/>
    </row>
    <row r="131" spans="1:1" ht="14.25" customHeight="1" x14ac:dyDescent="0.2">
      <c r="A131" s="61"/>
    </row>
    <row r="132" spans="1:1" ht="14.25" customHeight="1" x14ac:dyDescent="0.2">
      <c r="A132" s="61"/>
    </row>
    <row r="133" spans="1:1" ht="14.25" customHeight="1" x14ac:dyDescent="0.2">
      <c r="A133" s="61"/>
    </row>
    <row r="134" spans="1:1" ht="14.25" customHeight="1" x14ac:dyDescent="0.2">
      <c r="A134" s="61"/>
    </row>
    <row r="135" spans="1:1" ht="14.25" customHeight="1" x14ac:dyDescent="0.2">
      <c r="A135" s="61"/>
    </row>
    <row r="136" spans="1:1" ht="14.25" customHeight="1" x14ac:dyDescent="0.2">
      <c r="A136" s="61"/>
    </row>
    <row r="137" spans="1:1" ht="14.25" customHeight="1" x14ac:dyDescent="0.2">
      <c r="A137" s="61"/>
    </row>
    <row r="138" spans="1:1" ht="14.25" customHeight="1" x14ac:dyDescent="0.2">
      <c r="A138" s="61"/>
    </row>
    <row r="139" spans="1:1" ht="14.25" customHeight="1" x14ac:dyDescent="0.2">
      <c r="A139" s="61"/>
    </row>
    <row r="140" spans="1:1" ht="14.25" customHeight="1" x14ac:dyDescent="0.2">
      <c r="A140" s="61"/>
    </row>
    <row r="141" spans="1:1" ht="14.25" customHeight="1" x14ac:dyDescent="0.2">
      <c r="A141" s="61"/>
    </row>
    <row r="142" spans="1:1" ht="14.25" customHeight="1" x14ac:dyDescent="0.2">
      <c r="A142" s="61"/>
    </row>
    <row r="143" spans="1:1" ht="14.25" customHeight="1" x14ac:dyDescent="0.2">
      <c r="A143" s="61"/>
    </row>
    <row r="144" spans="1:1" ht="14.25" customHeight="1" x14ac:dyDescent="0.2">
      <c r="A144" s="61"/>
    </row>
    <row r="145" spans="1:1" ht="14.25" customHeight="1" x14ac:dyDescent="0.2">
      <c r="A145" s="61"/>
    </row>
    <row r="146" spans="1:1" ht="14.25" customHeight="1" x14ac:dyDescent="0.2">
      <c r="A146" s="61"/>
    </row>
    <row r="147" spans="1:1" ht="14.25" customHeight="1" x14ac:dyDescent="0.2">
      <c r="A147" s="61"/>
    </row>
    <row r="148" spans="1:1" ht="14.25" customHeight="1" x14ac:dyDescent="0.2">
      <c r="A148" s="61"/>
    </row>
    <row r="149" spans="1:1" ht="14.25" customHeight="1" x14ac:dyDescent="0.2">
      <c r="A149" s="61"/>
    </row>
    <row r="150" spans="1:1" ht="14.25" customHeight="1" x14ac:dyDescent="0.2">
      <c r="A150" s="61"/>
    </row>
    <row r="151" spans="1:1" ht="14.25" customHeight="1" x14ac:dyDescent="0.2">
      <c r="A151" s="61"/>
    </row>
    <row r="152" spans="1:1" ht="14.25" customHeight="1" x14ac:dyDescent="0.2">
      <c r="A152" s="61"/>
    </row>
    <row r="153" spans="1:1" ht="14.25" customHeight="1" x14ac:dyDescent="0.2">
      <c r="A153" s="61"/>
    </row>
    <row r="154" spans="1:1" ht="14.25" customHeight="1" x14ac:dyDescent="0.2">
      <c r="A154" s="61"/>
    </row>
    <row r="155" spans="1:1" ht="14.25" customHeight="1" x14ac:dyDescent="0.2">
      <c r="A155" s="61"/>
    </row>
    <row r="156" spans="1:1" ht="14.25" customHeight="1" x14ac:dyDescent="0.2">
      <c r="A156" s="61"/>
    </row>
    <row r="157" spans="1:1" ht="14.25" customHeight="1" x14ac:dyDescent="0.2">
      <c r="A157" s="61"/>
    </row>
    <row r="158" spans="1:1" ht="14.25" customHeight="1" x14ac:dyDescent="0.2">
      <c r="A158" s="61"/>
    </row>
    <row r="159" spans="1:1" ht="14.25" customHeight="1" x14ac:dyDescent="0.2">
      <c r="A159" s="61"/>
    </row>
    <row r="160" spans="1:1" ht="14.25" customHeight="1" x14ac:dyDescent="0.2">
      <c r="A160" s="61"/>
    </row>
    <row r="161" spans="1:1" ht="14.25" customHeight="1" x14ac:dyDescent="0.2">
      <c r="A161" s="61"/>
    </row>
    <row r="162" spans="1:1" ht="14.25" customHeight="1" x14ac:dyDescent="0.2">
      <c r="A162" s="61"/>
    </row>
    <row r="163" spans="1:1" ht="14.25" customHeight="1" x14ac:dyDescent="0.2">
      <c r="A163" s="61"/>
    </row>
    <row r="164" spans="1:1" ht="14.25" customHeight="1" x14ac:dyDescent="0.2">
      <c r="A164" s="61"/>
    </row>
    <row r="165" spans="1:1" ht="14.25" customHeight="1" x14ac:dyDescent="0.2">
      <c r="A165" s="61"/>
    </row>
    <row r="166" spans="1:1" ht="14.25" customHeight="1" x14ac:dyDescent="0.2">
      <c r="A166" s="61"/>
    </row>
    <row r="167" spans="1:1" ht="14.25" customHeight="1" x14ac:dyDescent="0.2">
      <c r="A167" s="61"/>
    </row>
    <row r="168" spans="1:1" ht="14.25" customHeight="1" x14ac:dyDescent="0.2">
      <c r="A168" s="61"/>
    </row>
    <row r="169" spans="1:1" ht="14.25" customHeight="1" x14ac:dyDescent="0.2">
      <c r="A169" s="61"/>
    </row>
    <row r="170" spans="1:1" ht="14.25" customHeight="1" x14ac:dyDescent="0.2">
      <c r="A170" s="61"/>
    </row>
    <row r="171" spans="1:1" ht="14.25" customHeight="1" x14ac:dyDescent="0.2">
      <c r="A171" s="61"/>
    </row>
    <row r="172" spans="1:1" ht="14.25" customHeight="1" x14ac:dyDescent="0.2">
      <c r="A172" s="61"/>
    </row>
    <row r="173" spans="1:1" ht="14.25" customHeight="1" x14ac:dyDescent="0.2">
      <c r="A173" s="61"/>
    </row>
    <row r="174" spans="1:1" ht="14.25" customHeight="1" x14ac:dyDescent="0.2">
      <c r="A174" s="61"/>
    </row>
    <row r="175" spans="1:1" ht="14.25" customHeight="1" x14ac:dyDescent="0.2">
      <c r="A175" s="61"/>
    </row>
    <row r="176" spans="1:1" ht="14.25" customHeight="1" x14ac:dyDescent="0.2">
      <c r="A176" s="61"/>
    </row>
    <row r="177" spans="1:1" ht="14.25" customHeight="1" x14ac:dyDescent="0.2">
      <c r="A177" s="61"/>
    </row>
    <row r="178" spans="1:1" ht="14.25" customHeight="1" x14ac:dyDescent="0.2">
      <c r="A178" s="61"/>
    </row>
    <row r="179" spans="1:1" ht="14.25" customHeight="1" x14ac:dyDescent="0.2">
      <c r="A179" s="61"/>
    </row>
    <row r="180" spans="1:1" ht="14.25" customHeight="1" x14ac:dyDescent="0.2">
      <c r="A180" s="61"/>
    </row>
    <row r="181" spans="1:1" ht="14.25" customHeight="1" x14ac:dyDescent="0.2">
      <c r="A181" s="61"/>
    </row>
    <row r="182" spans="1:1" ht="14.25" customHeight="1" x14ac:dyDescent="0.2">
      <c r="A182" s="61"/>
    </row>
    <row r="183" spans="1:1" ht="14.25" customHeight="1" x14ac:dyDescent="0.2">
      <c r="A183" s="61"/>
    </row>
    <row r="184" spans="1:1" ht="14.25" customHeight="1" x14ac:dyDescent="0.2">
      <c r="A184" s="61"/>
    </row>
    <row r="185" spans="1:1" ht="14.25" customHeight="1" x14ac:dyDescent="0.2">
      <c r="A185" s="61"/>
    </row>
    <row r="186" spans="1:1" ht="14.25" customHeight="1" x14ac:dyDescent="0.2">
      <c r="A186" s="61"/>
    </row>
    <row r="187" spans="1:1" ht="14.25" customHeight="1" x14ac:dyDescent="0.2">
      <c r="A187" s="61"/>
    </row>
    <row r="188" spans="1:1" ht="14.25" customHeight="1" x14ac:dyDescent="0.2">
      <c r="A188" s="61"/>
    </row>
    <row r="189" spans="1:1" ht="14.25" customHeight="1" x14ac:dyDescent="0.2">
      <c r="A189" s="61"/>
    </row>
    <row r="190" spans="1:1" ht="14.25" customHeight="1" x14ac:dyDescent="0.2">
      <c r="A190" s="61"/>
    </row>
    <row r="191" spans="1:1" ht="14.25" customHeight="1" x14ac:dyDescent="0.2">
      <c r="A191" s="61"/>
    </row>
    <row r="192" spans="1:1" ht="14.25" customHeight="1" x14ac:dyDescent="0.2">
      <c r="A192" s="61"/>
    </row>
    <row r="193" spans="1:1" ht="14.25" customHeight="1" x14ac:dyDescent="0.2">
      <c r="A193" s="61"/>
    </row>
    <row r="194" spans="1:1" ht="14.25" customHeight="1" x14ac:dyDescent="0.2">
      <c r="A194" s="61"/>
    </row>
    <row r="195" spans="1:1" ht="14.25" customHeight="1" x14ac:dyDescent="0.2">
      <c r="A195" s="61"/>
    </row>
    <row r="196" spans="1:1" ht="14.25" customHeight="1" x14ac:dyDescent="0.2">
      <c r="A196" s="61"/>
    </row>
    <row r="197" spans="1:1" ht="14.25" customHeight="1" x14ac:dyDescent="0.2">
      <c r="A197" s="61"/>
    </row>
    <row r="198" spans="1:1" ht="14.25" customHeight="1" x14ac:dyDescent="0.2">
      <c r="A198" s="61"/>
    </row>
    <row r="199" spans="1:1" ht="14.25" customHeight="1" x14ac:dyDescent="0.2">
      <c r="A199" s="61"/>
    </row>
    <row r="200" spans="1:1" ht="14.25" customHeight="1" x14ac:dyDescent="0.2">
      <c r="A200" s="61"/>
    </row>
    <row r="201" spans="1:1" ht="14.25" customHeight="1" x14ac:dyDescent="0.2">
      <c r="A201" s="61"/>
    </row>
    <row r="202" spans="1:1" ht="14.25" customHeight="1" x14ac:dyDescent="0.2">
      <c r="A202" s="61"/>
    </row>
    <row r="203" spans="1:1" ht="14.25" customHeight="1" x14ac:dyDescent="0.2">
      <c r="A203" s="61"/>
    </row>
    <row r="204" spans="1:1" ht="14.25" customHeight="1" x14ac:dyDescent="0.2">
      <c r="A204" s="61"/>
    </row>
    <row r="205" spans="1:1" ht="14.25" customHeight="1" x14ac:dyDescent="0.2">
      <c r="A205" s="61"/>
    </row>
    <row r="206" spans="1:1" ht="14.25" customHeight="1" x14ac:dyDescent="0.2">
      <c r="A206" s="61"/>
    </row>
    <row r="207" spans="1:1" ht="14.25" customHeight="1" x14ac:dyDescent="0.2">
      <c r="A207" s="61"/>
    </row>
    <row r="208" spans="1:1" ht="14.25" customHeight="1" x14ac:dyDescent="0.2">
      <c r="A208" s="61"/>
    </row>
    <row r="209" spans="1:1" ht="14.25" customHeight="1" x14ac:dyDescent="0.2">
      <c r="A209" s="61"/>
    </row>
    <row r="210" spans="1:1" ht="14.25" customHeight="1" x14ac:dyDescent="0.2">
      <c r="A210" s="61"/>
    </row>
    <row r="211" spans="1:1" ht="14.25" customHeight="1" x14ac:dyDescent="0.2">
      <c r="A211" s="61"/>
    </row>
    <row r="212" spans="1:1" ht="14.25" customHeight="1" x14ac:dyDescent="0.2">
      <c r="A212" s="61"/>
    </row>
    <row r="213" spans="1:1" ht="14.25" customHeight="1" x14ac:dyDescent="0.2">
      <c r="A213" s="61"/>
    </row>
    <row r="214" spans="1:1" ht="14.25" customHeight="1" x14ac:dyDescent="0.2">
      <c r="A214" s="61"/>
    </row>
    <row r="215" spans="1:1" ht="14.25" customHeight="1" x14ac:dyDescent="0.2">
      <c r="A215" s="61"/>
    </row>
    <row r="216" spans="1:1" ht="14.25" customHeight="1" x14ac:dyDescent="0.2">
      <c r="A216" s="61"/>
    </row>
    <row r="217" spans="1:1" ht="14.25" customHeight="1" x14ac:dyDescent="0.2">
      <c r="A217" s="61"/>
    </row>
    <row r="218" spans="1:1" ht="14.25" customHeight="1" x14ac:dyDescent="0.2">
      <c r="A218" s="61"/>
    </row>
    <row r="219" spans="1:1" ht="14.25" customHeight="1" x14ac:dyDescent="0.2">
      <c r="A219" s="61"/>
    </row>
    <row r="220" spans="1:1" ht="14.25" customHeight="1" x14ac:dyDescent="0.2">
      <c r="A220" s="61"/>
    </row>
    <row r="221" spans="1:1" ht="14.25" customHeight="1" x14ac:dyDescent="0.2">
      <c r="A221" s="61"/>
    </row>
    <row r="222" spans="1:1" ht="14.25" customHeight="1" x14ac:dyDescent="0.2">
      <c r="A222" s="61"/>
    </row>
    <row r="223" spans="1:1" ht="14.25" customHeight="1" x14ac:dyDescent="0.2">
      <c r="A223" s="61"/>
    </row>
    <row r="224" spans="1:1" ht="14.25" customHeight="1" x14ac:dyDescent="0.2">
      <c r="A224" s="61"/>
    </row>
    <row r="225" spans="1:1" ht="14.25" customHeight="1" x14ac:dyDescent="0.2">
      <c r="A225" s="61"/>
    </row>
    <row r="226" spans="1:1" ht="14.25" customHeight="1" x14ac:dyDescent="0.2">
      <c r="A226" s="61"/>
    </row>
    <row r="227" spans="1:1" ht="14.25" customHeight="1" x14ac:dyDescent="0.2">
      <c r="A227" s="61"/>
    </row>
    <row r="228" spans="1:1" ht="14.25" customHeight="1" x14ac:dyDescent="0.2">
      <c r="A228" s="61"/>
    </row>
    <row r="229" spans="1:1" ht="14.25" customHeight="1" x14ac:dyDescent="0.2">
      <c r="A229" s="61"/>
    </row>
    <row r="230" spans="1:1" ht="14.25" customHeight="1" x14ac:dyDescent="0.2">
      <c r="A230" s="61"/>
    </row>
    <row r="231" spans="1:1" ht="14.25" customHeight="1" x14ac:dyDescent="0.2">
      <c r="A231" s="61"/>
    </row>
    <row r="232" spans="1:1" ht="14.25" customHeight="1" x14ac:dyDescent="0.2">
      <c r="A232" s="61"/>
    </row>
    <row r="233" spans="1:1" ht="14.25" customHeight="1" x14ac:dyDescent="0.2">
      <c r="A233" s="61"/>
    </row>
    <row r="234" spans="1:1" ht="14.25" customHeight="1" x14ac:dyDescent="0.2">
      <c r="A234" s="61"/>
    </row>
    <row r="235" spans="1:1" ht="14.25" customHeight="1" x14ac:dyDescent="0.2">
      <c r="A235" s="61"/>
    </row>
    <row r="236" spans="1:1" ht="14.25" customHeight="1" x14ac:dyDescent="0.2">
      <c r="A236" s="61"/>
    </row>
    <row r="237" spans="1:1" ht="14.25" customHeight="1" x14ac:dyDescent="0.2">
      <c r="A237" s="61"/>
    </row>
    <row r="238" spans="1:1" ht="14.25" customHeight="1" x14ac:dyDescent="0.2">
      <c r="A238" s="61"/>
    </row>
    <row r="239" spans="1:1" ht="14.25" customHeight="1" x14ac:dyDescent="0.2">
      <c r="A239" s="61"/>
    </row>
    <row r="240" spans="1:1" ht="14.25" customHeight="1" x14ac:dyDescent="0.2">
      <c r="A240" s="61"/>
    </row>
    <row r="241" spans="1:1" ht="14.25" customHeight="1" x14ac:dyDescent="0.2">
      <c r="A241" s="61"/>
    </row>
    <row r="242" spans="1:1" ht="14.25" customHeight="1" x14ac:dyDescent="0.2">
      <c r="A242" s="61"/>
    </row>
    <row r="243" spans="1:1" ht="14.25" customHeight="1" x14ac:dyDescent="0.2">
      <c r="A243" s="61"/>
    </row>
    <row r="244" spans="1:1" ht="14.25" customHeight="1" x14ac:dyDescent="0.2">
      <c r="A244" s="61"/>
    </row>
    <row r="245" spans="1:1" ht="14.25" customHeight="1" x14ac:dyDescent="0.2">
      <c r="A245" s="61"/>
    </row>
    <row r="246" spans="1:1" ht="14.25" customHeight="1" x14ac:dyDescent="0.2">
      <c r="A246" s="61"/>
    </row>
    <row r="247" spans="1:1" ht="14.25" customHeight="1" x14ac:dyDescent="0.2">
      <c r="A247" s="61"/>
    </row>
    <row r="248" spans="1:1" ht="14.25" customHeight="1" x14ac:dyDescent="0.2">
      <c r="A248" s="61"/>
    </row>
    <row r="249" spans="1:1" ht="14.25" customHeight="1" x14ac:dyDescent="0.2">
      <c r="A249" s="61"/>
    </row>
    <row r="250" spans="1:1" ht="14.25" customHeight="1" x14ac:dyDescent="0.2">
      <c r="A250" s="61"/>
    </row>
    <row r="251" spans="1:1" ht="14.25" customHeight="1" x14ac:dyDescent="0.2">
      <c r="A251" s="61"/>
    </row>
    <row r="252" spans="1:1" ht="14.25" customHeight="1" x14ac:dyDescent="0.2">
      <c r="A252" s="61"/>
    </row>
    <row r="253" spans="1:1" ht="14.25" customHeight="1" x14ac:dyDescent="0.2">
      <c r="A253" s="61"/>
    </row>
    <row r="254" spans="1:1" ht="14.25" customHeight="1" x14ac:dyDescent="0.2">
      <c r="A254" s="61"/>
    </row>
    <row r="255" spans="1:1" ht="14.25" customHeight="1" x14ac:dyDescent="0.2">
      <c r="A255" s="61"/>
    </row>
    <row r="256" spans="1:1" ht="14.25" customHeight="1" x14ac:dyDescent="0.2">
      <c r="A256" s="61"/>
    </row>
    <row r="257" spans="1:1" ht="14.25" customHeight="1" x14ac:dyDescent="0.2">
      <c r="A257" s="61"/>
    </row>
    <row r="258" spans="1:1" ht="14.25" customHeight="1" x14ac:dyDescent="0.2">
      <c r="A258" s="61"/>
    </row>
    <row r="259" spans="1:1" ht="14.25" customHeight="1" x14ac:dyDescent="0.2">
      <c r="A259" s="61"/>
    </row>
    <row r="260" spans="1:1" ht="14.25" customHeight="1" x14ac:dyDescent="0.2">
      <c r="A260" s="61"/>
    </row>
    <row r="261" spans="1:1" ht="14.25" customHeight="1" x14ac:dyDescent="0.2">
      <c r="A261" s="61"/>
    </row>
    <row r="262" spans="1:1" ht="14.25" customHeight="1" x14ac:dyDescent="0.2">
      <c r="A262" s="61"/>
    </row>
    <row r="263" spans="1:1" ht="14.25" customHeight="1" x14ac:dyDescent="0.2">
      <c r="A263" s="61"/>
    </row>
    <row r="264" spans="1:1" ht="14.25" customHeight="1" x14ac:dyDescent="0.2">
      <c r="A264" s="61"/>
    </row>
    <row r="265" spans="1:1" ht="14.25" customHeight="1" x14ac:dyDescent="0.2">
      <c r="A265" s="61"/>
    </row>
    <row r="266" spans="1:1" ht="14.25" customHeight="1" x14ac:dyDescent="0.2">
      <c r="A266" s="61"/>
    </row>
    <row r="267" spans="1:1" ht="14.25" customHeight="1" x14ac:dyDescent="0.2">
      <c r="A267" s="61"/>
    </row>
    <row r="268" spans="1:1" ht="14.25" customHeight="1" x14ac:dyDescent="0.2">
      <c r="A268" s="61"/>
    </row>
    <row r="269" spans="1:1" ht="14.25" customHeight="1" x14ac:dyDescent="0.2">
      <c r="A269" s="61"/>
    </row>
    <row r="270" spans="1:1" ht="14.25" customHeight="1" x14ac:dyDescent="0.2">
      <c r="A270" s="61"/>
    </row>
    <row r="271" spans="1:1" ht="14.25" customHeight="1" x14ac:dyDescent="0.2">
      <c r="A271" s="61"/>
    </row>
    <row r="272" spans="1:1" ht="14.25" customHeight="1" x14ac:dyDescent="0.2">
      <c r="A272" s="61"/>
    </row>
    <row r="273" spans="1:1" ht="14.25" customHeight="1" x14ac:dyDescent="0.2">
      <c r="A273" s="61"/>
    </row>
    <row r="274" spans="1:1" ht="14.25" customHeight="1" x14ac:dyDescent="0.2">
      <c r="A274" s="61"/>
    </row>
    <row r="275" spans="1:1" ht="14.25" customHeight="1" x14ac:dyDescent="0.2">
      <c r="A275" s="61"/>
    </row>
    <row r="276" spans="1:1" ht="14.25" customHeight="1" x14ac:dyDescent="0.2">
      <c r="A276" s="61"/>
    </row>
    <row r="277" spans="1:1" ht="14.25" customHeight="1" x14ac:dyDescent="0.2">
      <c r="A277" s="61"/>
    </row>
    <row r="278" spans="1:1" ht="14.25" customHeight="1" x14ac:dyDescent="0.2">
      <c r="A278" s="61"/>
    </row>
    <row r="279" spans="1:1" ht="14.25" customHeight="1" x14ac:dyDescent="0.2">
      <c r="A279" s="61"/>
    </row>
    <row r="280" spans="1:1" ht="14.25" customHeight="1" x14ac:dyDescent="0.2">
      <c r="A280" s="61"/>
    </row>
    <row r="281" spans="1:1" ht="14.25" customHeight="1" x14ac:dyDescent="0.2">
      <c r="A281" s="61"/>
    </row>
    <row r="282" spans="1:1" ht="14.25" customHeight="1" x14ac:dyDescent="0.2">
      <c r="A282" s="61"/>
    </row>
    <row r="283" spans="1:1" ht="14.25" customHeight="1" x14ac:dyDescent="0.2">
      <c r="A283" s="61"/>
    </row>
    <row r="284" spans="1:1" ht="14.25" customHeight="1" x14ac:dyDescent="0.2">
      <c r="A284" s="61"/>
    </row>
    <row r="285" spans="1:1" ht="14.25" customHeight="1" x14ac:dyDescent="0.2">
      <c r="A285" s="61"/>
    </row>
    <row r="286" spans="1:1" ht="14.25" customHeight="1" x14ac:dyDescent="0.2">
      <c r="A286" s="61"/>
    </row>
    <row r="287" spans="1:1" ht="14.25" customHeight="1" x14ac:dyDescent="0.2">
      <c r="A287" s="61"/>
    </row>
    <row r="288" spans="1:1" ht="14.25" customHeight="1" x14ac:dyDescent="0.2">
      <c r="A288" s="61"/>
    </row>
    <row r="289" spans="1:1" ht="14.25" customHeight="1" x14ac:dyDescent="0.2">
      <c r="A289" s="61"/>
    </row>
    <row r="290" spans="1:1" ht="14.25" customHeight="1" x14ac:dyDescent="0.2">
      <c r="A290" s="61"/>
    </row>
    <row r="291" spans="1:1" ht="14.25" customHeight="1" x14ac:dyDescent="0.2">
      <c r="A291" s="61"/>
    </row>
    <row r="292" spans="1:1" ht="14.25" customHeight="1" x14ac:dyDescent="0.2">
      <c r="A292" s="61"/>
    </row>
    <row r="293" spans="1:1" ht="14.25" customHeight="1" x14ac:dyDescent="0.2">
      <c r="A293" s="61"/>
    </row>
    <row r="294" spans="1:1" ht="14.25" customHeight="1" x14ac:dyDescent="0.2">
      <c r="A294" s="61"/>
    </row>
    <row r="295" spans="1:1" ht="14.25" customHeight="1" x14ac:dyDescent="0.2">
      <c r="A295" s="61"/>
    </row>
    <row r="296" spans="1:1" ht="14.25" customHeight="1" x14ac:dyDescent="0.2">
      <c r="A296" s="61"/>
    </row>
    <row r="297" spans="1:1" ht="14.25" customHeight="1" x14ac:dyDescent="0.2">
      <c r="A297" s="61"/>
    </row>
    <row r="298" spans="1:1" ht="14.25" customHeight="1" x14ac:dyDescent="0.2">
      <c r="A298" s="61"/>
    </row>
    <row r="299" spans="1:1" ht="14.25" customHeight="1" x14ac:dyDescent="0.2">
      <c r="A299" s="61"/>
    </row>
    <row r="300" spans="1:1" ht="14.25" customHeight="1" x14ac:dyDescent="0.2">
      <c r="A300" s="61"/>
    </row>
    <row r="301" spans="1:1" ht="14.25" customHeight="1" x14ac:dyDescent="0.2">
      <c r="A301" s="61"/>
    </row>
    <row r="302" spans="1:1" ht="14.25" customHeight="1" x14ac:dyDescent="0.2">
      <c r="A302" s="61"/>
    </row>
    <row r="303" spans="1:1" ht="14.25" customHeight="1" x14ac:dyDescent="0.2">
      <c r="A303" s="61"/>
    </row>
    <row r="304" spans="1:1" ht="14.25" customHeight="1" x14ac:dyDescent="0.2">
      <c r="A304" s="61"/>
    </row>
    <row r="305" spans="1:1" ht="14.25" customHeight="1" x14ac:dyDescent="0.2">
      <c r="A305" s="61"/>
    </row>
    <row r="306" spans="1:1" ht="14.25" customHeight="1" x14ac:dyDescent="0.2">
      <c r="A306" s="61"/>
    </row>
    <row r="307" spans="1:1" ht="14.25" customHeight="1" x14ac:dyDescent="0.2">
      <c r="A307" s="61"/>
    </row>
    <row r="308" spans="1:1" ht="14.25" customHeight="1" x14ac:dyDescent="0.2">
      <c r="A308" s="61"/>
    </row>
    <row r="309" spans="1:1" ht="14.25" customHeight="1" x14ac:dyDescent="0.2">
      <c r="A309" s="61"/>
    </row>
    <row r="310" spans="1:1" ht="14.25" customHeight="1" x14ac:dyDescent="0.2">
      <c r="A310" s="61"/>
    </row>
    <row r="311" spans="1:1" ht="14.25" customHeight="1" x14ac:dyDescent="0.2">
      <c r="A311" s="61"/>
    </row>
    <row r="312" spans="1:1" ht="14.25" customHeight="1" x14ac:dyDescent="0.2">
      <c r="A312" s="61"/>
    </row>
    <row r="313" spans="1:1" ht="14.25" customHeight="1" x14ac:dyDescent="0.2">
      <c r="A313" s="61"/>
    </row>
    <row r="314" spans="1:1" ht="14.25" customHeight="1" x14ac:dyDescent="0.2">
      <c r="A314" s="61"/>
    </row>
    <row r="315" spans="1:1" ht="14.25" customHeight="1" x14ac:dyDescent="0.2">
      <c r="A315" s="61"/>
    </row>
    <row r="316" spans="1:1" ht="14.25" customHeight="1" x14ac:dyDescent="0.2">
      <c r="A316" s="61"/>
    </row>
    <row r="317" spans="1:1" ht="14.25" customHeight="1" x14ac:dyDescent="0.2">
      <c r="A317" s="61"/>
    </row>
    <row r="318" spans="1:1" ht="14.25" customHeight="1" x14ac:dyDescent="0.2">
      <c r="A318" s="61"/>
    </row>
    <row r="319" spans="1:1" ht="14.25" customHeight="1" x14ac:dyDescent="0.2">
      <c r="A319" s="61"/>
    </row>
    <row r="320" spans="1:1" ht="14.25" customHeight="1" x14ac:dyDescent="0.2">
      <c r="A320" s="61"/>
    </row>
    <row r="321" spans="1:1" ht="14.25" customHeight="1" x14ac:dyDescent="0.2">
      <c r="A321" s="61"/>
    </row>
    <row r="322" spans="1:1" ht="14.25" customHeight="1" x14ac:dyDescent="0.2">
      <c r="A322" s="61"/>
    </row>
    <row r="323" spans="1:1" ht="14.25" customHeight="1" x14ac:dyDescent="0.2">
      <c r="A323" s="61"/>
    </row>
    <row r="324" spans="1:1" ht="14.25" customHeight="1" x14ac:dyDescent="0.2">
      <c r="A324" s="61"/>
    </row>
    <row r="325" spans="1:1" ht="14.25" customHeight="1" x14ac:dyDescent="0.2">
      <c r="A325" s="61"/>
    </row>
    <row r="326" spans="1:1" ht="14.25" customHeight="1" x14ac:dyDescent="0.2">
      <c r="A326" s="61"/>
    </row>
    <row r="327" spans="1:1" ht="14.25" customHeight="1" x14ac:dyDescent="0.2">
      <c r="A327" s="61"/>
    </row>
    <row r="328" spans="1:1" ht="14.25" customHeight="1" x14ac:dyDescent="0.2">
      <c r="A328" s="61"/>
    </row>
    <row r="329" spans="1:1" ht="14.25" customHeight="1" x14ac:dyDescent="0.2">
      <c r="A329" s="61"/>
    </row>
    <row r="330" spans="1:1" ht="14.25" customHeight="1" x14ac:dyDescent="0.2">
      <c r="A330" s="61"/>
    </row>
    <row r="331" spans="1:1" ht="14.25" customHeight="1" x14ac:dyDescent="0.2">
      <c r="A331" s="61"/>
    </row>
    <row r="332" spans="1:1" ht="14.25" customHeight="1" x14ac:dyDescent="0.2">
      <c r="A332" s="61"/>
    </row>
    <row r="333" spans="1:1" ht="14.25" customHeight="1" x14ac:dyDescent="0.2">
      <c r="A333" s="61"/>
    </row>
    <row r="334" spans="1:1" ht="14.25" customHeight="1" x14ac:dyDescent="0.2">
      <c r="A334" s="61"/>
    </row>
    <row r="335" spans="1:1" ht="14.25" customHeight="1" x14ac:dyDescent="0.2">
      <c r="A335" s="61"/>
    </row>
    <row r="336" spans="1:1" ht="14.25" customHeight="1" x14ac:dyDescent="0.2">
      <c r="A336" s="61"/>
    </row>
    <row r="337" spans="1:1" ht="14.25" customHeight="1" x14ac:dyDescent="0.2">
      <c r="A337" s="61"/>
    </row>
    <row r="338" spans="1:1" ht="14.25" customHeight="1" x14ac:dyDescent="0.2">
      <c r="A338" s="61"/>
    </row>
    <row r="339" spans="1:1" ht="14.25" customHeight="1" x14ac:dyDescent="0.2">
      <c r="A339" s="61"/>
    </row>
    <row r="340" spans="1:1" ht="14.25" customHeight="1" x14ac:dyDescent="0.2">
      <c r="A340" s="61"/>
    </row>
    <row r="341" spans="1:1" ht="14.25" customHeight="1" x14ac:dyDescent="0.2">
      <c r="A341" s="61"/>
    </row>
    <row r="342" spans="1:1" ht="14.25" customHeight="1" x14ac:dyDescent="0.2">
      <c r="A342" s="61"/>
    </row>
    <row r="343" spans="1:1" ht="14.25" customHeight="1" x14ac:dyDescent="0.2">
      <c r="A343" s="61"/>
    </row>
    <row r="344" spans="1:1" ht="14.25" customHeight="1" x14ac:dyDescent="0.2">
      <c r="A344" s="61"/>
    </row>
    <row r="345" spans="1:1" ht="14.25" customHeight="1" x14ac:dyDescent="0.2">
      <c r="A345" s="61"/>
    </row>
    <row r="346" spans="1:1" ht="14.25" customHeight="1" x14ac:dyDescent="0.2">
      <c r="A346" s="61"/>
    </row>
    <row r="347" spans="1:1" ht="14.25" customHeight="1" x14ac:dyDescent="0.2">
      <c r="A347" s="61"/>
    </row>
    <row r="348" spans="1:1" ht="14.25" customHeight="1" x14ac:dyDescent="0.2">
      <c r="A348" s="61"/>
    </row>
    <row r="349" spans="1:1" ht="14.25" customHeight="1" x14ac:dyDescent="0.2">
      <c r="A349" s="61"/>
    </row>
    <row r="350" spans="1:1" ht="14.25" customHeight="1" x14ac:dyDescent="0.2">
      <c r="A350" s="61"/>
    </row>
    <row r="351" spans="1:1" ht="14.25" customHeight="1" x14ac:dyDescent="0.2">
      <c r="A351" s="61"/>
    </row>
    <row r="352" spans="1:1" ht="14.25" customHeight="1" x14ac:dyDescent="0.2">
      <c r="A352" s="61"/>
    </row>
    <row r="353" spans="1:1" ht="14.25" customHeight="1" x14ac:dyDescent="0.2">
      <c r="A353" s="61"/>
    </row>
    <row r="354" spans="1:1" ht="14.25" customHeight="1" x14ac:dyDescent="0.2">
      <c r="A354" s="61"/>
    </row>
    <row r="355" spans="1:1" ht="14.25" customHeight="1" x14ac:dyDescent="0.2">
      <c r="A355" s="61"/>
    </row>
    <row r="356" spans="1:1" ht="14.25" customHeight="1" x14ac:dyDescent="0.2">
      <c r="A356" s="61"/>
    </row>
    <row r="357" spans="1:1" ht="14.25" customHeight="1" x14ac:dyDescent="0.2">
      <c r="A357" s="61"/>
    </row>
    <row r="358" spans="1:1" ht="14.25" customHeight="1" x14ac:dyDescent="0.2">
      <c r="A358" s="61"/>
    </row>
    <row r="359" spans="1:1" ht="14.25" customHeight="1" x14ac:dyDescent="0.2">
      <c r="A359" s="61"/>
    </row>
    <row r="360" spans="1:1" ht="14.25" customHeight="1" x14ac:dyDescent="0.2">
      <c r="A360" s="61"/>
    </row>
    <row r="361" spans="1:1" ht="14.25" customHeight="1" x14ac:dyDescent="0.2">
      <c r="A361" s="61"/>
    </row>
    <row r="362" spans="1:1" ht="14.25" customHeight="1" x14ac:dyDescent="0.2">
      <c r="A362" s="61"/>
    </row>
    <row r="363" spans="1:1" ht="14.25" customHeight="1" x14ac:dyDescent="0.2">
      <c r="A363" s="61"/>
    </row>
    <row r="364" spans="1:1" ht="14.25" customHeight="1" x14ac:dyDescent="0.2">
      <c r="A364" s="61"/>
    </row>
    <row r="365" spans="1:1" ht="14.25" customHeight="1" x14ac:dyDescent="0.2">
      <c r="A365" s="61"/>
    </row>
    <row r="366" spans="1:1" ht="14.25" customHeight="1" x14ac:dyDescent="0.2">
      <c r="A366" s="61"/>
    </row>
    <row r="367" spans="1:1" ht="14.25" customHeight="1" x14ac:dyDescent="0.2">
      <c r="A367" s="61"/>
    </row>
    <row r="368" spans="1:1" ht="14.25" customHeight="1" x14ac:dyDescent="0.2">
      <c r="A368" s="61"/>
    </row>
    <row r="369" spans="1:1" ht="14.25" customHeight="1" x14ac:dyDescent="0.2">
      <c r="A369" s="61"/>
    </row>
    <row r="370" spans="1:1" ht="14.25" customHeight="1" x14ac:dyDescent="0.2">
      <c r="A370" s="61"/>
    </row>
    <row r="371" spans="1:1" ht="14.25" customHeight="1" x14ac:dyDescent="0.2">
      <c r="A371" s="61"/>
    </row>
    <row r="372" spans="1:1" ht="14.25" customHeight="1" x14ac:dyDescent="0.2">
      <c r="A372" s="61"/>
    </row>
    <row r="373" spans="1:1" ht="14.25" customHeight="1" x14ac:dyDescent="0.2">
      <c r="A373" s="61"/>
    </row>
    <row r="374" spans="1:1" ht="14.25" customHeight="1" x14ac:dyDescent="0.2">
      <c r="A374" s="61"/>
    </row>
    <row r="375" spans="1:1" ht="14.25" customHeight="1" x14ac:dyDescent="0.2">
      <c r="A375" s="61"/>
    </row>
    <row r="376" spans="1:1" ht="14.25" customHeight="1" x14ac:dyDescent="0.2">
      <c r="A376" s="61"/>
    </row>
    <row r="377" spans="1:1" ht="14.25" customHeight="1" x14ac:dyDescent="0.2">
      <c r="A377" s="61"/>
    </row>
    <row r="378" spans="1:1" ht="14.25" customHeight="1" x14ac:dyDescent="0.2">
      <c r="A378" s="61"/>
    </row>
    <row r="379" spans="1:1" ht="14.25" customHeight="1" x14ac:dyDescent="0.2">
      <c r="A379" s="61"/>
    </row>
    <row r="380" spans="1:1" ht="14.25" customHeight="1" x14ac:dyDescent="0.2">
      <c r="A380" s="61"/>
    </row>
    <row r="381" spans="1:1" ht="14.25" customHeight="1" x14ac:dyDescent="0.2">
      <c r="A381" s="61"/>
    </row>
    <row r="382" spans="1:1" ht="14.25" customHeight="1" x14ac:dyDescent="0.2">
      <c r="A382" s="61"/>
    </row>
    <row r="383" spans="1:1" ht="14.25" customHeight="1" x14ac:dyDescent="0.2">
      <c r="A383" s="61"/>
    </row>
    <row r="384" spans="1:1" ht="14.25" customHeight="1" x14ac:dyDescent="0.2">
      <c r="A384" s="61"/>
    </row>
    <row r="385" spans="1:1" ht="14.25" customHeight="1" x14ac:dyDescent="0.2">
      <c r="A385" s="61"/>
    </row>
    <row r="386" spans="1:1" ht="14.25" customHeight="1" x14ac:dyDescent="0.2">
      <c r="A386" s="61"/>
    </row>
    <row r="387" spans="1:1" ht="14.25" customHeight="1" x14ac:dyDescent="0.2">
      <c r="A387" s="61"/>
    </row>
    <row r="388" spans="1:1" ht="14.25" customHeight="1" x14ac:dyDescent="0.2">
      <c r="A388" s="61"/>
    </row>
    <row r="389" spans="1:1" ht="14.25" customHeight="1" x14ac:dyDescent="0.2">
      <c r="A389" s="61"/>
    </row>
    <row r="390" spans="1:1" ht="14.25" customHeight="1" x14ac:dyDescent="0.2">
      <c r="A390" s="61"/>
    </row>
    <row r="391" spans="1:1" ht="14.25" customHeight="1" x14ac:dyDescent="0.2">
      <c r="A391" s="61"/>
    </row>
    <row r="392" spans="1:1" ht="14.25" customHeight="1" x14ac:dyDescent="0.2">
      <c r="A392" s="61"/>
    </row>
    <row r="393" spans="1:1" ht="14.25" customHeight="1" x14ac:dyDescent="0.2">
      <c r="A393" s="61"/>
    </row>
    <row r="394" spans="1:1" ht="14.25" customHeight="1" x14ac:dyDescent="0.2">
      <c r="A394" s="61"/>
    </row>
    <row r="395" spans="1:1" ht="14.25" customHeight="1" x14ac:dyDescent="0.2">
      <c r="A395" s="61"/>
    </row>
    <row r="396" spans="1:1" ht="14.25" customHeight="1" x14ac:dyDescent="0.2">
      <c r="A396" s="61"/>
    </row>
    <row r="397" spans="1:1" ht="14.25" customHeight="1" x14ac:dyDescent="0.2">
      <c r="A397" s="61"/>
    </row>
    <row r="398" spans="1:1" ht="14.25" customHeight="1" x14ac:dyDescent="0.2">
      <c r="A398" s="61"/>
    </row>
    <row r="399" spans="1:1" ht="14.25" customHeight="1" x14ac:dyDescent="0.2">
      <c r="A399" s="61"/>
    </row>
    <row r="400" spans="1:1" ht="14.25" customHeight="1" x14ac:dyDescent="0.2">
      <c r="A400" s="61"/>
    </row>
    <row r="401" spans="1:1" ht="14.25" customHeight="1" x14ac:dyDescent="0.2">
      <c r="A401" s="61"/>
    </row>
    <row r="402" spans="1:1" ht="14.25" customHeight="1" x14ac:dyDescent="0.2">
      <c r="A402" s="61"/>
    </row>
    <row r="403" spans="1:1" ht="14.25" customHeight="1" x14ac:dyDescent="0.2">
      <c r="A403" s="61"/>
    </row>
    <row r="404" spans="1:1" ht="14.25" customHeight="1" x14ac:dyDescent="0.2">
      <c r="A404" s="61"/>
    </row>
    <row r="405" spans="1:1" ht="14.25" customHeight="1" x14ac:dyDescent="0.2">
      <c r="A405" s="61"/>
    </row>
    <row r="406" spans="1:1" ht="14.25" customHeight="1" x14ac:dyDescent="0.2">
      <c r="A406" s="61"/>
    </row>
    <row r="407" spans="1:1" ht="14.25" customHeight="1" x14ac:dyDescent="0.2">
      <c r="A407" s="61"/>
    </row>
    <row r="408" spans="1:1" ht="14.25" customHeight="1" x14ac:dyDescent="0.2">
      <c r="A408" s="61"/>
    </row>
    <row r="409" spans="1:1" ht="14.25" customHeight="1" x14ac:dyDescent="0.2">
      <c r="A409" s="61"/>
    </row>
    <row r="410" spans="1:1" ht="14.25" customHeight="1" x14ac:dyDescent="0.2">
      <c r="A410" s="61"/>
    </row>
    <row r="411" spans="1:1" ht="14.25" customHeight="1" x14ac:dyDescent="0.2">
      <c r="A411" s="61"/>
    </row>
    <row r="412" spans="1:1" ht="14.25" customHeight="1" x14ac:dyDescent="0.2">
      <c r="A412" s="61"/>
    </row>
    <row r="413" spans="1:1" ht="14.25" customHeight="1" x14ac:dyDescent="0.2">
      <c r="A413" s="61"/>
    </row>
    <row r="414" spans="1:1" ht="14.25" customHeight="1" x14ac:dyDescent="0.2">
      <c r="A414" s="61"/>
    </row>
    <row r="415" spans="1:1" ht="14.25" customHeight="1" x14ac:dyDescent="0.2">
      <c r="A415" s="61"/>
    </row>
    <row r="416" spans="1:1" ht="14.25" customHeight="1" x14ac:dyDescent="0.2">
      <c r="A416" s="61"/>
    </row>
    <row r="417" spans="1:1" ht="14.25" customHeight="1" x14ac:dyDescent="0.2">
      <c r="A417" s="61"/>
    </row>
    <row r="418" spans="1:1" ht="14.25" customHeight="1" x14ac:dyDescent="0.2">
      <c r="A418" s="61"/>
    </row>
    <row r="419" spans="1:1" ht="14.25" customHeight="1" x14ac:dyDescent="0.2">
      <c r="A419" s="61"/>
    </row>
    <row r="420" spans="1:1" ht="14.25" customHeight="1" x14ac:dyDescent="0.2">
      <c r="A420" s="61"/>
    </row>
    <row r="421" spans="1:1" ht="14.25" customHeight="1" x14ac:dyDescent="0.2">
      <c r="A421" s="61"/>
    </row>
    <row r="422" spans="1:1" ht="14.25" customHeight="1" x14ac:dyDescent="0.2">
      <c r="A422" s="61"/>
    </row>
    <row r="423" spans="1:1" ht="14.25" customHeight="1" x14ac:dyDescent="0.2">
      <c r="A423" s="61"/>
    </row>
    <row r="424" spans="1:1" ht="14.25" customHeight="1" x14ac:dyDescent="0.2">
      <c r="A424" s="61"/>
    </row>
    <row r="425" spans="1:1" ht="14.25" customHeight="1" x14ac:dyDescent="0.2">
      <c r="A425" s="61"/>
    </row>
    <row r="426" spans="1:1" ht="14.25" customHeight="1" x14ac:dyDescent="0.2">
      <c r="A426" s="61"/>
    </row>
    <row r="427" spans="1:1" ht="14.25" customHeight="1" x14ac:dyDescent="0.2">
      <c r="A427" s="61"/>
    </row>
    <row r="428" spans="1:1" ht="14.25" customHeight="1" x14ac:dyDescent="0.2">
      <c r="A428" s="61"/>
    </row>
    <row r="429" spans="1:1" ht="14.25" customHeight="1" x14ac:dyDescent="0.2">
      <c r="A429" s="61"/>
    </row>
    <row r="430" spans="1:1" ht="14.25" customHeight="1" x14ac:dyDescent="0.2">
      <c r="A430" s="61"/>
    </row>
    <row r="431" spans="1:1" ht="14.25" customHeight="1" x14ac:dyDescent="0.2">
      <c r="A431" s="61"/>
    </row>
    <row r="432" spans="1:1" ht="14.25" customHeight="1" x14ac:dyDescent="0.2">
      <c r="A432" s="61"/>
    </row>
    <row r="433" spans="1:1" ht="14.25" customHeight="1" x14ac:dyDescent="0.2">
      <c r="A433" s="61"/>
    </row>
    <row r="434" spans="1:1" ht="14.25" customHeight="1" x14ac:dyDescent="0.2">
      <c r="A434" s="61"/>
    </row>
    <row r="435" spans="1:1" ht="14.25" customHeight="1" x14ac:dyDescent="0.2">
      <c r="A435" s="61"/>
    </row>
    <row r="436" spans="1:1" ht="14.25" customHeight="1" x14ac:dyDescent="0.2">
      <c r="A436" s="61"/>
    </row>
    <row r="437" spans="1:1" ht="14.25" customHeight="1" x14ac:dyDescent="0.2">
      <c r="A437" s="61"/>
    </row>
    <row r="438" spans="1:1" ht="14.25" customHeight="1" x14ac:dyDescent="0.2">
      <c r="A438" s="61"/>
    </row>
    <row r="439" spans="1:1" ht="14.25" customHeight="1" x14ac:dyDescent="0.2">
      <c r="A439" s="61"/>
    </row>
    <row r="440" spans="1:1" ht="14.25" customHeight="1" x14ac:dyDescent="0.2">
      <c r="A440" s="61"/>
    </row>
    <row r="441" spans="1:1" ht="14.25" customHeight="1" x14ac:dyDescent="0.2">
      <c r="A441" s="61"/>
    </row>
    <row r="442" spans="1:1" ht="14.25" customHeight="1" x14ac:dyDescent="0.2">
      <c r="A442" s="61"/>
    </row>
    <row r="443" spans="1:1" ht="14.25" customHeight="1" x14ac:dyDescent="0.2">
      <c r="A443" s="61"/>
    </row>
    <row r="444" spans="1:1" ht="14.25" customHeight="1" x14ac:dyDescent="0.2">
      <c r="A444" s="61"/>
    </row>
    <row r="445" spans="1:1" ht="14.25" customHeight="1" x14ac:dyDescent="0.2">
      <c r="A445" s="61"/>
    </row>
    <row r="446" spans="1:1" ht="14.25" customHeight="1" x14ac:dyDescent="0.2">
      <c r="A446" s="61"/>
    </row>
    <row r="447" spans="1:1" ht="14.25" customHeight="1" x14ac:dyDescent="0.2">
      <c r="A447" s="61"/>
    </row>
    <row r="448" spans="1:1" ht="14.25" customHeight="1" x14ac:dyDescent="0.2">
      <c r="A448" s="61"/>
    </row>
    <row r="449" spans="1:1" ht="14.25" customHeight="1" x14ac:dyDescent="0.2">
      <c r="A449" s="61"/>
    </row>
    <row r="450" spans="1:1" ht="14.25" customHeight="1" x14ac:dyDescent="0.2">
      <c r="A450" s="61"/>
    </row>
    <row r="451" spans="1:1" ht="14.25" customHeight="1" x14ac:dyDescent="0.2">
      <c r="A451" s="61"/>
    </row>
    <row r="452" spans="1:1" ht="14.25" customHeight="1" x14ac:dyDescent="0.2">
      <c r="A452" s="61"/>
    </row>
    <row r="453" spans="1:1" ht="14.25" customHeight="1" x14ac:dyDescent="0.2">
      <c r="A453" s="61"/>
    </row>
    <row r="454" spans="1:1" ht="14.25" customHeight="1" x14ac:dyDescent="0.2">
      <c r="A454" s="61"/>
    </row>
    <row r="455" spans="1:1" ht="14.25" customHeight="1" x14ac:dyDescent="0.2">
      <c r="A455" s="61"/>
    </row>
    <row r="456" spans="1:1" ht="14.25" customHeight="1" x14ac:dyDescent="0.2">
      <c r="A456" s="61"/>
    </row>
    <row r="457" spans="1:1" ht="14.25" customHeight="1" x14ac:dyDescent="0.2">
      <c r="A457" s="61"/>
    </row>
    <row r="458" spans="1:1" ht="14.25" customHeight="1" x14ac:dyDescent="0.2">
      <c r="A458" s="61"/>
    </row>
    <row r="459" spans="1:1" ht="14.25" customHeight="1" x14ac:dyDescent="0.2">
      <c r="A459" s="61"/>
    </row>
    <row r="460" spans="1:1" ht="14.25" customHeight="1" x14ac:dyDescent="0.2">
      <c r="A460" s="61"/>
    </row>
    <row r="461" spans="1:1" ht="14.25" customHeight="1" x14ac:dyDescent="0.2">
      <c r="A461" s="61"/>
    </row>
    <row r="462" spans="1:1" ht="14.25" customHeight="1" x14ac:dyDescent="0.2">
      <c r="A462" s="61"/>
    </row>
    <row r="463" spans="1:1" ht="14.25" customHeight="1" x14ac:dyDescent="0.2">
      <c r="A463" s="61"/>
    </row>
    <row r="464" spans="1:1" ht="14.25" customHeight="1" x14ac:dyDescent="0.2">
      <c r="A464" s="61"/>
    </row>
    <row r="465" spans="1:1" ht="14.25" customHeight="1" x14ac:dyDescent="0.2">
      <c r="A465" s="61"/>
    </row>
    <row r="466" spans="1:1" ht="14.25" customHeight="1" x14ac:dyDescent="0.2">
      <c r="A466" s="61"/>
    </row>
    <row r="467" spans="1:1" ht="14.25" customHeight="1" x14ac:dyDescent="0.2">
      <c r="A467" s="61"/>
    </row>
    <row r="468" spans="1:1" ht="14.25" customHeight="1" x14ac:dyDescent="0.2">
      <c r="A468" s="61"/>
    </row>
    <row r="469" spans="1:1" ht="14.25" customHeight="1" x14ac:dyDescent="0.2">
      <c r="A469" s="61"/>
    </row>
    <row r="470" spans="1:1" ht="14.25" customHeight="1" x14ac:dyDescent="0.2">
      <c r="A470" s="61"/>
    </row>
    <row r="471" spans="1:1" ht="14.25" customHeight="1" x14ac:dyDescent="0.2">
      <c r="A471" s="61"/>
    </row>
    <row r="472" spans="1:1" ht="14.25" customHeight="1" x14ac:dyDescent="0.2">
      <c r="A472" s="61"/>
    </row>
    <row r="473" spans="1:1" ht="14.25" customHeight="1" x14ac:dyDescent="0.2">
      <c r="A473" s="61"/>
    </row>
    <row r="474" spans="1:1" ht="14.25" customHeight="1" x14ac:dyDescent="0.2">
      <c r="A474" s="61"/>
    </row>
    <row r="475" spans="1:1" ht="14.25" customHeight="1" x14ac:dyDescent="0.2">
      <c r="A475" s="61"/>
    </row>
    <row r="476" spans="1:1" ht="14.25" customHeight="1" x14ac:dyDescent="0.2">
      <c r="A476" s="61"/>
    </row>
    <row r="477" spans="1:1" ht="14.25" customHeight="1" x14ac:dyDescent="0.2">
      <c r="A477" s="61"/>
    </row>
    <row r="478" spans="1:1" ht="14.25" customHeight="1" x14ac:dyDescent="0.2">
      <c r="A478" s="61"/>
    </row>
    <row r="479" spans="1:1" ht="14.25" customHeight="1" x14ac:dyDescent="0.2">
      <c r="A479" s="61"/>
    </row>
    <row r="480" spans="1:1" ht="14.25" customHeight="1" x14ac:dyDescent="0.2">
      <c r="A480" s="61"/>
    </row>
    <row r="481" spans="1:1" ht="14.25" customHeight="1" x14ac:dyDescent="0.2">
      <c r="A481" s="61"/>
    </row>
    <row r="482" spans="1:1" ht="14.25" customHeight="1" x14ac:dyDescent="0.2">
      <c r="A482" s="61"/>
    </row>
    <row r="483" spans="1:1" ht="14.25" customHeight="1" x14ac:dyDescent="0.2">
      <c r="A483" s="61"/>
    </row>
    <row r="484" spans="1:1" ht="14.25" customHeight="1" x14ac:dyDescent="0.2">
      <c r="A484" s="61"/>
    </row>
    <row r="485" spans="1:1" ht="14.25" customHeight="1" x14ac:dyDescent="0.2">
      <c r="A485" s="61"/>
    </row>
    <row r="486" spans="1:1" ht="14.25" customHeight="1" x14ac:dyDescent="0.2">
      <c r="A486" s="61"/>
    </row>
    <row r="487" spans="1:1" ht="14.25" customHeight="1" x14ac:dyDescent="0.2">
      <c r="A487" s="61"/>
    </row>
    <row r="488" spans="1:1" ht="14.25" customHeight="1" x14ac:dyDescent="0.2">
      <c r="A488" s="61"/>
    </row>
    <row r="489" spans="1:1" ht="14.25" customHeight="1" x14ac:dyDescent="0.2">
      <c r="A489" s="61"/>
    </row>
    <row r="490" spans="1:1" ht="14.25" customHeight="1" x14ac:dyDescent="0.2">
      <c r="A490" s="61"/>
    </row>
    <row r="491" spans="1:1" ht="14.25" customHeight="1" x14ac:dyDescent="0.2">
      <c r="A491" s="61"/>
    </row>
    <row r="492" spans="1:1" ht="14.25" customHeight="1" x14ac:dyDescent="0.2">
      <c r="A492" s="61"/>
    </row>
    <row r="493" spans="1:1" ht="14.25" customHeight="1" x14ac:dyDescent="0.2">
      <c r="A493" s="61"/>
    </row>
    <row r="494" spans="1:1" ht="14.25" customHeight="1" x14ac:dyDescent="0.2">
      <c r="A494" s="61"/>
    </row>
    <row r="495" spans="1:1" ht="14.25" customHeight="1" x14ac:dyDescent="0.2">
      <c r="A495" s="61"/>
    </row>
    <row r="496" spans="1:1" ht="14.25" customHeight="1" x14ac:dyDescent="0.2">
      <c r="A496" s="61"/>
    </row>
    <row r="497" spans="1:1" ht="14.25" customHeight="1" x14ac:dyDescent="0.2">
      <c r="A497" s="61"/>
    </row>
    <row r="498" spans="1:1" ht="14.25" customHeight="1" x14ac:dyDescent="0.2">
      <c r="A498" s="61"/>
    </row>
    <row r="499" spans="1:1" ht="14.25" customHeight="1" x14ac:dyDescent="0.2">
      <c r="A499" s="61"/>
    </row>
    <row r="500" spans="1:1" ht="14.25" customHeight="1" x14ac:dyDescent="0.2">
      <c r="A500" s="61"/>
    </row>
    <row r="501" spans="1:1" ht="14.25" customHeight="1" x14ac:dyDescent="0.2">
      <c r="A501" s="61"/>
    </row>
    <row r="502" spans="1:1" ht="14.25" customHeight="1" x14ac:dyDescent="0.2">
      <c r="A502" s="61"/>
    </row>
    <row r="503" spans="1:1" ht="14.25" customHeight="1" x14ac:dyDescent="0.2">
      <c r="A503" s="61"/>
    </row>
    <row r="504" spans="1:1" ht="14.25" customHeight="1" x14ac:dyDescent="0.2">
      <c r="A504" s="61"/>
    </row>
    <row r="505" spans="1:1" ht="14.25" customHeight="1" x14ac:dyDescent="0.2">
      <c r="A505" s="61"/>
    </row>
    <row r="506" spans="1:1" ht="14.25" customHeight="1" x14ac:dyDescent="0.2">
      <c r="A506" s="61"/>
    </row>
    <row r="507" spans="1:1" ht="14.25" customHeight="1" x14ac:dyDescent="0.2">
      <c r="A507" s="61"/>
    </row>
    <row r="508" spans="1:1" ht="14.25" customHeight="1" x14ac:dyDescent="0.2">
      <c r="A508" s="61"/>
    </row>
    <row r="509" spans="1:1" ht="14.25" customHeight="1" x14ac:dyDescent="0.2">
      <c r="A509" s="61"/>
    </row>
    <row r="510" spans="1:1" ht="14.25" customHeight="1" x14ac:dyDescent="0.2">
      <c r="A510" s="61"/>
    </row>
    <row r="511" spans="1:1" ht="14.25" customHeight="1" x14ac:dyDescent="0.2">
      <c r="A511" s="61"/>
    </row>
    <row r="512" spans="1:1" ht="14.25" customHeight="1" x14ac:dyDescent="0.2">
      <c r="A512" s="61"/>
    </row>
    <row r="513" spans="1:1" ht="14.25" customHeight="1" x14ac:dyDescent="0.2">
      <c r="A513" s="61"/>
    </row>
    <row r="514" spans="1:1" ht="14.25" customHeight="1" x14ac:dyDescent="0.2">
      <c r="A514" s="61"/>
    </row>
    <row r="515" spans="1:1" ht="14.25" customHeight="1" x14ac:dyDescent="0.2">
      <c r="A515" s="61"/>
    </row>
    <row r="516" spans="1:1" ht="14.25" customHeight="1" x14ac:dyDescent="0.2">
      <c r="A516" s="61"/>
    </row>
    <row r="517" spans="1:1" ht="14.25" customHeight="1" x14ac:dyDescent="0.2">
      <c r="A517" s="61"/>
    </row>
    <row r="518" spans="1:1" ht="14.25" customHeight="1" x14ac:dyDescent="0.2">
      <c r="A518" s="61"/>
    </row>
    <row r="519" spans="1:1" ht="14.25" customHeight="1" x14ac:dyDescent="0.2">
      <c r="A519" s="61"/>
    </row>
    <row r="520" spans="1:1" ht="14.25" customHeight="1" x14ac:dyDescent="0.2">
      <c r="A520" s="61"/>
    </row>
    <row r="521" spans="1:1" ht="14.25" customHeight="1" x14ac:dyDescent="0.2">
      <c r="A521" s="61"/>
    </row>
    <row r="522" spans="1:1" ht="14.25" customHeight="1" x14ac:dyDescent="0.2">
      <c r="A522" s="61"/>
    </row>
    <row r="523" spans="1:1" ht="14.25" customHeight="1" x14ac:dyDescent="0.2">
      <c r="A523" s="61"/>
    </row>
    <row r="524" spans="1:1" ht="14.25" customHeight="1" x14ac:dyDescent="0.2">
      <c r="A524" s="61"/>
    </row>
    <row r="525" spans="1:1" ht="14.25" customHeight="1" x14ac:dyDescent="0.2">
      <c r="A525" s="61"/>
    </row>
    <row r="526" spans="1:1" ht="14.25" customHeight="1" x14ac:dyDescent="0.2">
      <c r="A526" s="61"/>
    </row>
    <row r="527" spans="1:1" ht="14.25" customHeight="1" x14ac:dyDescent="0.2">
      <c r="A527" s="61"/>
    </row>
    <row r="528" spans="1:1" ht="14.25" customHeight="1" x14ac:dyDescent="0.2">
      <c r="A528" s="61"/>
    </row>
    <row r="529" spans="1:1" ht="14.25" customHeight="1" x14ac:dyDescent="0.2">
      <c r="A529" s="61"/>
    </row>
    <row r="530" spans="1:1" ht="14.25" customHeight="1" x14ac:dyDescent="0.2">
      <c r="A530" s="61"/>
    </row>
    <row r="531" spans="1:1" ht="14.25" customHeight="1" x14ac:dyDescent="0.2">
      <c r="A531" s="61"/>
    </row>
    <row r="532" spans="1:1" ht="14.25" customHeight="1" x14ac:dyDescent="0.2">
      <c r="A532" s="61"/>
    </row>
    <row r="533" spans="1:1" ht="14.25" customHeight="1" x14ac:dyDescent="0.2">
      <c r="A533" s="61"/>
    </row>
    <row r="534" spans="1:1" ht="14.25" customHeight="1" x14ac:dyDescent="0.2">
      <c r="A534" s="61"/>
    </row>
    <row r="535" spans="1:1" ht="14.25" customHeight="1" x14ac:dyDescent="0.2">
      <c r="A535" s="61"/>
    </row>
    <row r="536" spans="1:1" ht="14.25" customHeight="1" x14ac:dyDescent="0.2">
      <c r="A536" s="61"/>
    </row>
    <row r="537" spans="1:1" ht="14.25" customHeight="1" x14ac:dyDescent="0.2">
      <c r="A537" s="61"/>
    </row>
    <row r="538" spans="1:1" ht="14.25" customHeight="1" x14ac:dyDescent="0.2">
      <c r="A538" s="61"/>
    </row>
    <row r="539" spans="1:1" ht="14.25" customHeight="1" x14ac:dyDescent="0.2">
      <c r="A539" s="61"/>
    </row>
    <row r="540" spans="1:1" ht="14.25" customHeight="1" x14ac:dyDescent="0.2">
      <c r="A540" s="61"/>
    </row>
    <row r="541" spans="1:1" ht="14.25" customHeight="1" x14ac:dyDescent="0.2">
      <c r="A541" s="61"/>
    </row>
    <row r="542" spans="1:1" ht="14.25" customHeight="1" x14ac:dyDescent="0.2">
      <c r="A542" s="61"/>
    </row>
    <row r="543" spans="1:1" ht="14.25" customHeight="1" x14ac:dyDescent="0.2">
      <c r="A543" s="61"/>
    </row>
    <row r="544" spans="1:1" ht="14.25" customHeight="1" x14ac:dyDescent="0.2">
      <c r="A544" s="61"/>
    </row>
    <row r="545" spans="1:1" ht="14.25" customHeight="1" x14ac:dyDescent="0.2">
      <c r="A545" s="61"/>
    </row>
    <row r="546" spans="1:1" ht="14.25" customHeight="1" x14ac:dyDescent="0.2">
      <c r="A546" s="61"/>
    </row>
    <row r="547" spans="1:1" ht="14.25" customHeight="1" x14ac:dyDescent="0.2">
      <c r="A547" s="61"/>
    </row>
    <row r="548" spans="1:1" ht="14.25" customHeight="1" x14ac:dyDescent="0.2">
      <c r="A548" s="61"/>
    </row>
    <row r="549" spans="1:1" ht="14.25" customHeight="1" x14ac:dyDescent="0.2">
      <c r="A549" s="61"/>
    </row>
    <row r="550" spans="1:1" ht="14.25" customHeight="1" x14ac:dyDescent="0.2">
      <c r="A550" s="61"/>
    </row>
    <row r="551" spans="1:1" ht="14.25" customHeight="1" x14ac:dyDescent="0.2">
      <c r="A551" s="61"/>
    </row>
    <row r="552" spans="1:1" ht="14.25" customHeight="1" x14ac:dyDescent="0.2">
      <c r="A552" s="61"/>
    </row>
    <row r="553" spans="1:1" ht="14.25" customHeight="1" x14ac:dyDescent="0.2">
      <c r="A553" s="61"/>
    </row>
    <row r="554" spans="1:1" ht="14.25" customHeight="1" x14ac:dyDescent="0.2">
      <c r="A554" s="61"/>
    </row>
    <row r="555" spans="1:1" ht="14.25" customHeight="1" x14ac:dyDescent="0.2">
      <c r="A555" s="61"/>
    </row>
    <row r="556" spans="1:1" ht="14.25" customHeight="1" x14ac:dyDescent="0.2">
      <c r="A556" s="61"/>
    </row>
    <row r="557" spans="1:1" ht="14.25" customHeight="1" x14ac:dyDescent="0.2">
      <c r="A557" s="61"/>
    </row>
    <row r="558" spans="1:1" ht="14.25" customHeight="1" x14ac:dyDescent="0.2">
      <c r="A558" s="61"/>
    </row>
    <row r="559" spans="1:1" ht="14.25" customHeight="1" x14ac:dyDescent="0.2">
      <c r="A559" s="61"/>
    </row>
    <row r="560" spans="1:1" ht="14.25" customHeight="1" x14ac:dyDescent="0.2">
      <c r="A560" s="61"/>
    </row>
    <row r="561" spans="1:1" ht="14.25" customHeight="1" x14ac:dyDescent="0.2">
      <c r="A561" s="61"/>
    </row>
    <row r="562" spans="1:1" ht="14.25" customHeight="1" x14ac:dyDescent="0.2">
      <c r="A562" s="61"/>
    </row>
    <row r="563" spans="1:1" ht="14.25" customHeight="1" x14ac:dyDescent="0.2">
      <c r="A563" s="61"/>
    </row>
    <row r="564" spans="1:1" ht="14.25" customHeight="1" x14ac:dyDescent="0.2">
      <c r="A564" s="61"/>
    </row>
    <row r="565" spans="1:1" ht="14.25" customHeight="1" x14ac:dyDescent="0.2">
      <c r="A565" s="61"/>
    </row>
    <row r="566" spans="1:1" ht="14.25" customHeight="1" x14ac:dyDescent="0.2">
      <c r="A566" s="61"/>
    </row>
    <row r="567" spans="1:1" ht="14.25" customHeight="1" x14ac:dyDescent="0.2">
      <c r="A567" s="61"/>
    </row>
    <row r="568" spans="1:1" ht="14.25" customHeight="1" x14ac:dyDescent="0.2">
      <c r="A568" s="61"/>
    </row>
    <row r="569" spans="1:1" ht="14.25" customHeight="1" x14ac:dyDescent="0.2">
      <c r="A569" s="61"/>
    </row>
    <row r="570" spans="1:1" ht="14.25" customHeight="1" x14ac:dyDescent="0.2">
      <c r="A570" s="61"/>
    </row>
    <row r="571" spans="1:1" ht="14.25" customHeight="1" x14ac:dyDescent="0.2">
      <c r="A571" s="61"/>
    </row>
    <row r="572" spans="1:1" ht="14.25" customHeight="1" x14ac:dyDescent="0.2">
      <c r="A572" s="61"/>
    </row>
    <row r="573" spans="1:1" ht="14.25" customHeight="1" x14ac:dyDescent="0.2">
      <c r="A573" s="61"/>
    </row>
    <row r="574" spans="1:1" ht="14.25" customHeight="1" x14ac:dyDescent="0.2">
      <c r="A574" s="61"/>
    </row>
    <row r="575" spans="1:1" ht="14.25" customHeight="1" x14ac:dyDescent="0.2">
      <c r="A575" s="61"/>
    </row>
    <row r="576" spans="1:1" ht="14.25" customHeight="1" x14ac:dyDescent="0.2">
      <c r="A576" s="61"/>
    </row>
    <row r="577" spans="1:1" ht="14.25" customHeight="1" x14ac:dyDescent="0.2">
      <c r="A577" s="61"/>
    </row>
    <row r="578" spans="1:1" ht="14.25" customHeight="1" x14ac:dyDescent="0.2">
      <c r="A578" s="61"/>
    </row>
    <row r="579" spans="1:1" ht="14.25" customHeight="1" x14ac:dyDescent="0.2">
      <c r="A579" s="61"/>
    </row>
    <row r="580" spans="1:1" ht="14.25" customHeight="1" x14ac:dyDescent="0.2">
      <c r="A580" s="61"/>
    </row>
    <row r="581" spans="1:1" ht="14.25" customHeight="1" x14ac:dyDescent="0.2">
      <c r="A581" s="61"/>
    </row>
    <row r="582" spans="1:1" ht="14.25" customHeight="1" x14ac:dyDescent="0.2">
      <c r="A582" s="61"/>
    </row>
    <row r="583" spans="1:1" ht="14.25" customHeight="1" x14ac:dyDescent="0.2">
      <c r="A583" s="61"/>
    </row>
    <row r="584" spans="1:1" ht="14.25" customHeight="1" x14ac:dyDescent="0.2">
      <c r="A584" s="61"/>
    </row>
    <row r="585" spans="1:1" ht="14.25" customHeight="1" x14ac:dyDescent="0.2">
      <c r="A585" s="61"/>
    </row>
    <row r="586" spans="1:1" ht="14.25" customHeight="1" x14ac:dyDescent="0.2">
      <c r="A586" s="61"/>
    </row>
    <row r="587" spans="1:1" ht="14.25" customHeight="1" x14ac:dyDescent="0.2">
      <c r="A587" s="61"/>
    </row>
    <row r="588" spans="1:1" ht="14.25" customHeight="1" x14ac:dyDescent="0.2">
      <c r="A588" s="61"/>
    </row>
    <row r="589" spans="1:1" ht="14.25" customHeight="1" x14ac:dyDescent="0.2">
      <c r="A589" s="61"/>
    </row>
    <row r="590" spans="1:1" ht="14.25" customHeight="1" x14ac:dyDescent="0.2">
      <c r="A590" s="61"/>
    </row>
    <row r="591" spans="1:1" ht="14.25" customHeight="1" x14ac:dyDescent="0.2">
      <c r="A591" s="61"/>
    </row>
    <row r="592" spans="1:1" ht="14.25" customHeight="1" x14ac:dyDescent="0.2">
      <c r="A592" s="61"/>
    </row>
    <row r="593" spans="1:1" ht="14.25" customHeight="1" x14ac:dyDescent="0.2">
      <c r="A593" s="61"/>
    </row>
    <row r="594" spans="1:1" ht="14.25" customHeight="1" x14ac:dyDescent="0.2">
      <c r="A594" s="61"/>
    </row>
    <row r="595" spans="1:1" ht="14.25" customHeight="1" x14ac:dyDescent="0.2">
      <c r="A595" s="61"/>
    </row>
    <row r="596" spans="1:1" ht="14.25" customHeight="1" x14ac:dyDescent="0.2">
      <c r="A596" s="61"/>
    </row>
    <row r="597" spans="1:1" ht="14.25" customHeight="1" x14ac:dyDescent="0.2">
      <c r="A597" s="61"/>
    </row>
    <row r="598" spans="1:1" ht="14.25" customHeight="1" x14ac:dyDescent="0.2">
      <c r="A598" s="61"/>
    </row>
    <row r="599" spans="1:1" ht="14.25" customHeight="1" x14ac:dyDescent="0.2">
      <c r="A599" s="61"/>
    </row>
    <row r="600" spans="1:1" ht="14.25" customHeight="1" x14ac:dyDescent="0.2">
      <c r="A600" s="61"/>
    </row>
    <row r="601" spans="1:1" ht="14.25" customHeight="1" x14ac:dyDescent="0.2">
      <c r="A601" s="61"/>
    </row>
    <row r="602" spans="1:1" ht="14.25" customHeight="1" x14ac:dyDescent="0.2">
      <c r="A602" s="61"/>
    </row>
    <row r="603" spans="1:1" ht="14.25" customHeight="1" x14ac:dyDescent="0.2">
      <c r="A603" s="61"/>
    </row>
    <row r="604" spans="1:1" ht="14.25" customHeight="1" x14ac:dyDescent="0.2">
      <c r="A604" s="61"/>
    </row>
    <row r="605" spans="1:1" ht="14.25" customHeight="1" x14ac:dyDescent="0.2">
      <c r="A605" s="61"/>
    </row>
    <row r="606" spans="1:1" ht="14.25" customHeight="1" x14ac:dyDescent="0.2">
      <c r="A606" s="61"/>
    </row>
    <row r="607" spans="1:1" ht="14.25" customHeight="1" x14ac:dyDescent="0.2">
      <c r="A607" s="61"/>
    </row>
    <row r="608" spans="1:1" ht="14.25" customHeight="1" x14ac:dyDescent="0.2">
      <c r="A608" s="61"/>
    </row>
    <row r="609" spans="1:1" ht="14.25" customHeight="1" x14ac:dyDescent="0.2">
      <c r="A609" s="61"/>
    </row>
    <row r="610" spans="1:1" ht="14.25" customHeight="1" x14ac:dyDescent="0.2">
      <c r="A610" s="61"/>
    </row>
    <row r="611" spans="1:1" ht="14.25" customHeight="1" x14ac:dyDescent="0.2">
      <c r="A611" s="61"/>
    </row>
    <row r="612" spans="1:1" ht="14.25" customHeight="1" x14ac:dyDescent="0.2">
      <c r="A612" s="61"/>
    </row>
    <row r="613" spans="1:1" ht="14.25" customHeight="1" x14ac:dyDescent="0.2">
      <c r="A613" s="61"/>
    </row>
    <row r="614" spans="1:1" ht="14.25" customHeight="1" x14ac:dyDescent="0.2">
      <c r="A614" s="61"/>
    </row>
    <row r="615" spans="1:1" ht="14.25" customHeight="1" x14ac:dyDescent="0.2">
      <c r="A615" s="61"/>
    </row>
    <row r="616" spans="1:1" ht="14.25" customHeight="1" x14ac:dyDescent="0.2">
      <c r="A616" s="61"/>
    </row>
    <row r="617" spans="1:1" ht="14.25" customHeight="1" x14ac:dyDescent="0.2">
      <c r="A617" s="61"/>
    </row>
    <row r="618" spans="1:1" ht="14.25" customHeight="1" x14ac:dyDescent="0.2">
      <c r="A618" s="61"/>
    </row>
    <row r="619" spans="1:1" ht="14.25" customHeight="1" x14ac:dyDescent="0.2">
      <c r="A619" s="61"/>
    </row>
    <row r="620" spans="1:1" ht="14.25" customHeight="1" x14ac:dyDescent="0.2">
      <c r="A620" s="61"/>
    </row>
    <row r="621" spans="1:1" ht="14.25" customHeight="1" x14ac:dyDescent="0.2">
      <c r="A621" s="61"/>
    </row>
    <row r="622" spans="1:1" ht="14.25" customHeight="1" x14ac:dyDescent="0.2">
      <c r="A622" s="61"/>
    </row>
    <row r="623" spans="1:1" ht="14.25" customHeight="1" x14ac:dyDescent="0.2">
      <c r="A623" s="61"/>
    </row>
    <row r="624" spans="1:1" ht="14.25" customHeight="1" x14ac:dyDescent="0.2">
      <c r="A624" s="61"/>
    </row>
    <row r="625" spans="1:1" ht="14.25" customHeight="1" x14ac:dyDescent="0.2">
      <c r="A625" s="61"/>
    </row>
    <row r="626" spans="1:1" ht="14.25" customHeight="1" x14ac:dyDescent="0.2">
      <c r="A626" s="61"/>
    </row>
    <row r="627" spans="1:1" ht="14.25" customHeight="1" x14ac:dyDescent="0.2">
      <c r="A627" s="61"/>
    </row>
    <row r="628" spans="1:1" ht="14.25" customHeight="1" x14ac:dyDescent="0.2">
      <c r="A628" s="61"/>
    </row>
    <row r="629" spans="1:1" ht="14.25" customHeight="1" x14ac:dyDescent="0.2">
      <c r="A629" s="61"/>
    </row>
    <row r="630" spans="1:1" ht="14.25" customHeight="1" x14ac:dyDescent="0.2">
      <c r="A630" s="61"/>
    </row>
    <row r="631" spans="1:1" ht="14.25" customHeight="1" x14ac:dyDescent="0.2">
      <c r="A631" s="61"/>
    </row>
    <row r="632" spans="1:1" ht="14.25" customHeight="1" x14ac:dyDescent="0.2">
      <c r="A632" s="61"/>
    </row>
    <row r="633" spans="1:1" ht="14.25" customHeight="1" x14ac:dyDescent="0.2">
      <c r="A633" s="61"/>
    </row>
    <row r="634" spans="1:1" ht="14.25" customHeight="1" x14ac:dyDescent="0.2">
      <c r="A634" s="61"/>
    </row>
    <row r="635" spans="1:1" ht="14.25" customHeight="1" x14ac:dyDescent="0.2">
      <c r="A635" s="61"/>
    </row>
    <row r="636" spans="1:1" ht="14.25" customHeight="1" x14ac:dyDescent="0.2">
      <c r="A636" s="61"/>
    </row>
    <row r="637" spans="1:1" ht="14.25" customHeight="1" x14ac:dyDescent="0.2">
      <c r="A637" s="61"/>
    </row>
    <row r="638" spans="1:1" ht="14.25" customHeight="1" x14ac:dyDescent="0.2">
      <c r="A638" s="61"/>
    </row>
    <row r="639" spans="1:1" ht="14.25" customHeight="1" x14ac:dyDescent="0.2">
      <c r="A639" s="61"/>
    </row>
    <row r="640" spans="1:1" ht="14.25" customHeight="1" x14ac:dyDescent="0.2">
      <c r="A640" s="61"/>
    </row>
    <row r="641" spans="1:1" ht="14.25" customHeight="1" x14ac:dyDescent="0.2">
      <c r="A641" s="61"/>
    </row>
    <row r="642" spans="1:1" ht="14.25" customHeight="1" x14ac:dyDescent="0.2">
      <c r="A642" s="61"/>
    </row>
    <row r="643" spans="1:1" ht="14.25" customHeight="1" x14ac:dyDescent="0.2">
      <c r="A643" s="61"/>
    </row>
    <row r="644" spans="1:1" ht="14.25" customHeight="1" x14ac:dyDescent="0.2">
      <c r="A644" s="61"/>
    </row>
    <row r="645" spans="1:1" ht="14.25" customHeight="1" x14ac:dyDescent="0.2">
      <c r="A645" s="61"/>
    </row>
    <row r="646" spans="1:1" ht="14.25" customHeight="1" x14ac:dyDescent="0.2">
      <c r="A646" s="61"/>
    </row>
    <row r="647" spans="1:1" ht="14.25" customHeight="1" x14ac:dyDescent="0.2">
      <c r="A647" s="61"/>
    </row>
    <row r="648" spans="1:1" ht="14.25" customHeight="1" x14ac:dyDescent="0.2">
      <c r="A648" s="61"/>
    </row>
    <row r="649" spans="1:1" ht="14.25" customHeight="1" x14ac:dyDescent="0.2">
      <c r="A649" s="61"/>
    </row>
    <row r="650" spans="1:1" ht="14.25" customHeight="1" x14ac:dyDescent="0.2">
      <c r="A650" s="61"/>
    </row>
    <row r="651" spans="1:1" ht="14.25" customHeight="1" x14ac:dyDescent="0.2">
      <c r="A651" s="61"/>
    </row>
    <row r="652" spans="1:1" ht="14.25" customHeight="1" x14ac:dyDescent="0.2">
      <c r="A652" s="61"/>
    </row>
    <row r="653" spans="1:1" ht="14.25" customHeight="1" x14ac:dyDescent="0.2">
      <c r="A653" s="61"/>
    </row>
    <row r="654" spans="1:1" ht="14.25" customHeight="1" x14ac:dyDescent="0.2">
      <c r="A654" s="61"/>
    </row>
    <row r="655" spans="1:1" ht="14.25" customHeight="1" x14ac:dyDescent="0.2">
      <c r="A655" s="61"/>
    </row>
    <row r="656" spans="1:1" ht="14.25" customHeight="1" x14ac:dyDescent="0.2">
      <c r="A656" s="61"/>
    </row>
    <row r="657" spans="1:1" ht="14.25" customHeight="1" x14ac:dyDescent="0.2">
      <c r="A657" s="61"/>
    </row>
    <row r="658" spans="1:1" ht="14.25" customHeight="1" x14ac:dyDescent="0.2">
      <c r="A658" s="61"/>
    </row>
    <row r="659" spans="1:1" ht="14.25" customHeight="1" x14ac:dyDescent="0.2">
      <c r="A659" s="61"/>
    </row>
    <row r="660" spans="1:1" ht="14.25" customHeight="1" x14ac:dyDescent="0.2">
      <c r="A660" s="61"/>
    </row>
    <row r="661" spans="1:1" ht="14.25" customHeight="1" x14ac:dyDescent="0.2">
      <c r="A661" s="61"/>
    </row>
    <row r="662" spans="1:1" ht="14.25" customHeight="1" x14ac:dyDescent="0.2">
      <c r="A662" s="61"/>
    </row>
    <row r="663" spans="1:1" ht="14.25" customHeight="1" x14ac:dyDescent="0.2">
      <c r="A663" s="61"/>
    </row>
    <row r="664" spans="1:1" ht="14.25" customHeight="1" x14ac:dyDescent="0.2">
      <c r="A664" s="61"/>
    </row>
    <row r="665" spans="1:1" ht="14.25" customHeight="1" x14ac:dyDescent="0.2">
      <c r="A665" s="61"/>
    </row>
    <row r="666" spans="1:1" ht="14.25" customHeight="1" x14ac:dyDescent="0.2">
      <c r="A666" s="61"/>
    </row>
    <row r="667" spans="1:1" ht="14.25" customHeight="1" x14ac:dyDescent="0.2">
      <c r="A667" s="61"/>
    </row>
    <row r="668" spans="1:1" ht="14.25" customHeight="1" x14ac:dyDescent="0.2">
      <c r="A668" s="61"/>
    </row>
    <row r="669" spans="1:1" ht="14.25" customHeight="1" x14ac:dyDescent="0.2">
      <c r="A669" s="61"/>
    </row>
    <row r="670" spans="1:1" ht="14.25" customHeight="1" x14ac:dyDescent="0.2">
      <c r="A670" s="61"/>
    </row>
    <row r="671" spans="1:1" ht="14.25" customHeight="1" x14ac:dyDescent="0.2">
      <c r="A671" s="61"/>
    </row>
    <row r="672" spans="1:1" ht="14.25" customHeight="1" x14ac:dyDescent="0.2">
      <c r="A672" s="61"/>
    </row>
    <row r="673" spans="1:1" ht="14.25" customHeight="1" x14ac:dyDescent="0.2">
      <c r="A673" s="61"/>
    </row>
    <row r="674" spans="1:1" ht="14.25" customHeight="1" x14ac:dyDescent="0.2">
      <c r="A674" s="61"/>
    </row>
    <row r="675" spans="1:1" ht="14.25" customHeight="1" x14ac:dyDescent="0.2">
      <c r="A675" s="61"/>
    </row>
    <row r="676" spans="1:1" ht="14.25" customHeight="1" x14ac:dyDescent="0.2">
      <c r="A676" s="61"/>
    </row>
    <row r="677" spans="1:1" ht="14.25" customHeight="1" x14ac:dyDescent="0.2">
      <c r="A677" s="61"/>
    </row>
    <row r="678" spans="1:1" ht="14.25" customHeight="1" x14ac:dyDescent="0.2">
      <c r="A678" s="61"/>
    </row>
    <row r="679" spans="1:1" ht="14.25" customHeight="1" x14ac:dyDescent="0.2">
      <c r="A679" s="61"/>
    </row>
    <row r="680" spans="1:1" ht="14.25" customHeight="1" x14ac:dyDescent="0.2">
      <c r="A680" s="61"/>
    </row>
    <row r="681" spans="1:1" ht="14.25" customHeight="1" x14ac:dyDescent="0.2">
      <c r="A681" s="61"/>
    </row>
    <row r="682" spans="1:1" ht="14.25" customHeight="1" x14ac:dyDescent="0.2">
      <c r="A682" s="61"/>
    </row>
    <row r="683" spans="1:1" ht="14.25" customHeight="1" x14ac:dyDescent="0.2">
      <c r="A683" s="61"/>
    </row>
    <row r="684" spans="1:1" ht="14.25" customHeight="1" x14ac:dyDescent="0.2">
      <c r="A684" s="61"/>
    </row>
    <row r="685" spans="1:1" ht="14.25" customHeight="1" x14ac:dyDescent="0.2">
      <c r="A685" s="61"/>
    </row>
    <row r="686" spans="1:1" ht="14.25" customHeight="1" x14ac:dyDescent="0.2">
      <c r="A686" s="61"/>
    </row>
    <row r="687" spans="1:1" ht="14.25" customHeight="1" x14ac:dyDescent="0.2">
      <c r="A687" s="61"/>
    </row>
    <row r="688" spans="1:1" ht="14.25" customHeight="1" x14ac:dyDescent="0.2">
      <c r="A688" s="61"/>
    </row>
    <row r="689" spans="1:1" ht="14.25" customHeight="1" x14ac:dyDescent="0.2">
      <c r="A689" s="61"/>
    </row>
    <row r="690" spans="1:1" ht="14.25" customHeight="1" x14ac:dyDescent="0.2">
      <c r="A690" s="61"/>
    </row>
    <row r="691" spans="1:1" ht="14.25" customHeight="1" x14ac:dyDescent="0.2">
      <c r="A691" s="61"/>
    </row>
    <row r="692" spans="1:1" ht="14.25" customHeight="1" x14ac:dyDescent="0.2">
      <c r="A692" s="61"/>
    </row>
    <row r="693" spans="1:1" ht="14.25" customHeight="1" x14ac:dyDescent="0.2">
      <c r="A693" s="61"/>
    </row>
    <row r="694" spans="1:1" ht="14.25" customHeight="1" x14ac:dyDescent="0.2">
      <c r="A694" s="61"/>
    </row>
    <row r="695" spans="1:1" ht="14.25" customHeight="1" x14ac:dyDescent="0.2">
      <c r="A695" s="61"/>
    </row>
    <row r="696" spans="1:1" ht="14.25" customHeight="1" x14ac:dyDescent="0.2">
      <c r="A696" s="61"/>
    </row>
    <row r="697" spans="1:1" ht="14.25" customHeight="1" x14ac:dyDescent="0.2">
      <c r="A697" s="61"/>
    </row>
    <row r="698" spans="1:1" ht="14.25" customHeight="1" x14ac:dyDescent="0.2">
      <c r="A698" s="61"/>
    </row>
    <row r="699" spans="1:1" ht="14.25" customHeight="1" x14ac:dyDescent="0.2">
      <c r="A699" s="61"/>
    </row>
    <row r="700" spans="1:1" ht="14.25" customHeight="1" x14ac:dyDescent="0.2">
      <c r="A700" s="61"/>
    </row>
    <row r="701" spans="1:1" ht="14.25" customHeight="1" x14ac:dyDescent="0.2">
      <c r="A701" s="61"/>
    </row>
    <row r="702" spans="1:1" ht="14.25" customHeight="1" x14ac:dyDescent="0.2">
      <c r="A702" s="61"/>
    </row>
    <row r="703" spans="1:1" ht="14.25" customHeight="1" x14ac:dyDescent="0.2">
      <c r="A703" s="61"/>
    </row>
    <row r="704" spans="1:1" ht="14.25" customHeight="1" x14ac:dyDescent="0.2">
      <c r="A704" s="61"/>
    </row>
    <row r="705" spans="1:1" ht="14.25" customHeight="1" x14ac:dyDescent="0.2">
      <c r="A705" s="61"/>
    </row>
    <row r="706" spans="1:1" ht="14.25" customHeight="1" x14ac:dyDescent="0.2">
      <c r="A706" s="61"/>
    </row>
    <row r="707" spans="1:1" ht="14.25" customHeight="1" x14ac:dyDescent="0.2">
      <c r="A707" s="61"/>
    </row>
    <row r="708" spans="1:1" ht="14.25" customHeight="1" x14ac:dyDescent="0.2">
      <c r="A708" s="61"/>
    </row>
    <row r="709" spans="1:1" ht="14.25" customHeight="1" x14ac:dyDescent="0.2">
      <c r="A709" s="61"/>
    </row>
    <row r="710" spans="1:1" ht="14.25" customHeight="1" x14ac:dyDescent="0.2">
      <c r="A710" s="61"/>
    </row>
    <row r="711" spans="1:1" ht="14.25" customHeight="1" x14ac:dyDescent="0.2">
      <c r="A711" s="61"/>
    </row>
    <row r="712" spans="1:1" ht="14.25" customHeight="1" x14ac:dyDescent="0.2">
      <c r="A712" s="61"/>
    </row>
    <row r="713" spans="1:1" ht="14.25" customHeight="1" x14ac:dyDescent="0.2">
      <c r="A713" s="61"/>
    </row>
    <row r="714" spans="1:1" ht="14.25" customHeight="1" x14ac:dyDescent="0.2">
      <c r="A714" s="61"/>
    </row>
    <row r="715" spans="1:1" ht="14.25" customHeight="1" x14ac:dyDescent="0.2">
      <c r="A715" s="61"/>
    </row>
    <row r="716" spans="1:1" ht="14.25" customHeight="1" x14ac:dyDescent="0.2">
      <c r="A716" s="61"/>
    </row>
    <row r="717" spans="1:1" ht="14.25" customHeight="1" x14ac:dyDescent="0.2">
      <c r="A717" s="61"/>
    </row>
    <row r="718" spans="1:1" ht="14.25" customHeight="1" x14ac:dyDescent="0.2">
      <c r="A718" s="61"/>
    </row>
    <row r="719" spans="1:1" ht="14.25" customHeight="1" x14ac:dyDescent="0.2">
      <c r="A719" s="61"/>
    </row>
    <row r="720" spans="1:1" ht="14.25" customHeight="1" x14ac:dyDescent="0.2">
      <c r="A720" s="61"/>
    </row>
    <row r="721" spans="1:1" ht="14.25" customHeight="1" x14ac:dyDescent="0.2">
      <c r="A721" s="61"/>
    </row>
    <row r="722" spans="1:1" ht="14.25" customHeight="1" x14ac:dyDescent="0.2">
      <c r="A722" s="61"/>
    </row>
    <row r="723" spans="1:1" ht="14.25" customHeight="1" x14ac:dyDescent="0.2">
      <c r="A723" s="61"/>
    </row>
    <row r="724" spans="1:1" ht="14.25" customHeight="1" x14ac:dyDescent="0.2">
      <c r="A724" s="61"/>
    </row>
    <row r="725" spans="1:1" ht="14.25" customHeight="1" x14ac:dyDescent="0.2">
      <c r="A725" s="61"/>
    </row>
    <row r="726" spans="1:1" ht="14.25" customHeight="1" x14ac:dyDescent="0.2">
      <c r="A726" s="61"/>
    </row>
    <row r="727" spans="1:1" ht="14.25" customHeight="1" x14ac:dyDescent="0.2">
      <c r="A727" s="61"/>
    </row>
    <row r="728" spans="1:1" ht="14.25" customHeight="1" x14ac:dyDescent="0.2">
      <c r="A728" s="61"/>
    </row>
    <row r="729" spans="1:1" ht="14.25" customHeight="1" x14ac:dyDescent="0.2">
      <c r="A729" s="61"/>
    </row>
    <row r="730" spans="1:1" ht="14.25" customHeight="1" x14ac:dyDescent="0.2">
      <c r="A730" s="61"/>
    </row>
    <row r="731" spans="1:1" ht="14.25" customHeight="1" x14ac:dyDescent="0.2">
      <c r="A731" s="61"/>
    </row>
    <row r="732" spans="1:1" ht="14.25" customHeight="1" x14ac:dyDescent="0.2">
      <c r="A732" s="61"/>
    </row>
    <row r="733" spans="1:1" ht="14.25" customHeight="1" x14ac:dyDescent="0.2">
      <c r="A733" s="61"/>
    </row>
    <row r="734" spans="1:1" ht="14.25" customHeight="1" x14ac:dyDescent="0.2">
      <c r="A734" s="61"/>
    </row>
    <row r="735" spans="1:1" ht="14.25" customHeight="1" x14ac:dyDescent="0.2">
      <c r="A735" s="61"/>
    </row>
    <row r="736" spans="1:1" ht="14.25" customHeight="1" x14ac:dyDescent="0.2">
      <c r="A736" s="61"/>
    </row>
    <row r="737" spans="1:1" ht="14.25" customHeight="1" x14ac:dyDescent="0.2">
      <c r="A737" s="61"/>
    </row>
    <row r="738" spans="1:1" ht="14.25" customHeight="1" x14ac:dyDescent="0.2">
      <c r="A738" s="61"/>
    </row>
    <row r="739" spans="1:1" ht="14.25" customHeight="1" x14ac:dyDescent="0.2">
      <c r="A739" s="61"/>
    </row>
    <row r="740" spans="1:1" ht="14.25" customHeight="1" x14ac:dyDescent="0.2">
      <c r="A740" s="61"/>
    </row>
    <row r="741" spans="1:1" ht="14.25" customHeight="1" x14ac:dyDescent="0.2">
      <c r="A741" s="61"/>
    </row>
    <row r="742" spans="1:1" ht="14.25" customHeight="1" x14ac:dyDescent="0.2">
      <c r="A742" s="61"/>
    </row>
    <row r="743" spans="1:1" ht="14.25" customHeight="1" x14ac:dyDescent="0.2">
      <c r="A743" s="61"/>
    </row>
    <row r="744" spans="1:1" ht="14.25" customHeight="1" x14ac:dyDescent="0.2">
      <c r="A744" s="61"/>
    </row>
    <row r="745" spans="1:1" ht="14.25" customHeight="1" x14ac:dyDescent="0.2">
      <c r="A745" s="61"/>
    </row>
    <row r="746" spans="1:1" ht="14.25" customHeight="1" x14ac:dyDescent="0.2">
      <c r="A746" s="61"/>
    </row>
    <row r="747" spans="1:1" ht="14.25" customHeight="1" x14ac:dyDescent="0.2">
      <c r="A747" s="61"/>
    </row>
    <row r="748" spans="1:1" ht="14.25" customHeight="1" x14ac:dyDescent="0.2">
      <c r="A748" s="61"/>
    </row>
    <row r="749" spans="1:1" ht="14.25" customHeight="1" x14ac:dyDescent="0.2">
      <c r="A749" s="61"/>
    </row>
    <row r="750" spans="1:1" ht="14.25" customHeight="1" x14ac:dyDescent="0.2">
      <c r="A750" s="61"/>
    </row>
    <row r="751" spans="1:1" ht="14.25" customHeight="1" x14ac:dyDescent="0.2">
      <c r="A751" s="61"/>
    </row>
    <row r="752" spans="1:1" ht="14.25" customHeight="1" x14ac:dyDescent="0.2">
      <c r="A752" s="61"/>
    </row>
    <row r="753" spans="1:1" ht="14.25" customHeight="1" x14ac:dyDescent="0.2">
      <c r="A753" s="61"/>
    </row>
    <row r="754" spans="1:1" ht="14.25" customHeight="1" x14ac:dyDescent="0.2">
      <c r="A754" s="61"/>
    </row>
    <row r="755" spans="1:1" ht="14.25" customHeight="1" x14ac:dyDescent="0.2">
      <c r="A755" s="61"/>
    </row>
    <row r="756" spans="1:1" ht="14.25" customHeight="1" x14ac:dyDescent="0.2">
      <c r="A756" s="61"/>
    </row>
    <row r="757" spans="1:1" ht="14.25" customHeight="1" x14ac:dyDescent="0.2">
      <c r="A757" s="61"/>
    </row>
    <row r="758" spans="1:1" ht="14.25" customHeight="1" x14ac:dyDescent="0.2">
      <c r="A758" s="61"/>
    </row>
    <row r="759" spans="1:1" ht="14.25" customHeight="1" x14ac:dyDescent="0.2">
      <c r="A759" s="61"/>
    </row>
    <row r="760" spans="1:1" ht="14.25" customHeight="1" x14ac:dyDescent="0.2">
      <c r="A760" s="61"/>
    </row>
    <row r="761" spans="1:1" ht="14.25" customHeight="1" x14ac:dyDescent="0.2">
      <c r="A761" s="61"/>
    </row>
    <row r="762" spans="1:1" ht="14.25" customHeight="1" x14ac:dyDescent="0.2">
      <c r="A762" s="61"/>
    </row>
    <row r="763" spans="1:1" ht="14.25" customHeight="1" x14ac:dyDescent="0.2">
      <c r="A763" s="61"/>
    </row>
    <row r="764" spans="1:1" ht="14.25" customHeight="1" x14ac:dyDescent="0.2">
      <c r="A764" s="61"/>
    </row>
    <row r="765" spans="1:1" ht="14.25" customHeight="1" x14ac:dyDescent="0.2">
      <c r="A765" s="61"/>
    </row>
    <row r="766" spans="1:1" ht="14.25" customHeight="1" x14ac:dyDescent="0.2">
      <c r="A766" s="61"/>
    </row>
    <row r="767" spans="1:1" ht="14.25" customHeight="1" x14ac:dyDescent="0.2">
      <c r="A767" s="61"/>
    </row>
    <row r="768" spans="1:1" ht="14.25" customHeight="1" x14ac:dyDescent="0.2">
      <c r="A768" s="61"/>
    </row>
    <row r="769" spans="1:1" ht="14.25" customHeight="1" x14ac:dyDescent="0.2">
      <c r="A769" s="61"/>
    </row>
    <row r="770" spans="1:1" ht="14.25" customHeight="1" x14ac:dyDescent="0.2">
      <c r="A770" s="61"/>
    </row>
    <row r="771" spans="1:1" ht="14.25" customHeight="1" x14ac:dyDescent="0.2">
      <c r="A771" s="61"/>
    </row>
    <row r="772" spans="1:1" ht="14.25" customHeight="1" x14ac:dyDescent="0.2">
      <c r="A772" s="61"/>
    </row>
    <row r="773" spans="1:1" ht="14.25" customHeight="1" x14ac:dyDescent="0.2">
      <c r="A773" s="61"/>
    </row>
    <row r="774" spans="1:1" ht="14.25" customHeight="1" x14ac:dyDescent="0.2">
      <c r="A774" s="61"/>
    </row>
    <row r="775" spans="1:1" ht="14.25" customHeight="1" x14ac:dyDescent="0.2">
      <c r="A775" s="61"/>
    </row>
    <row r="776" spans="1:1" ht="14.25" customHeight="1" x14ac:dyDescent="0.2">
      <c r="A776" s="61"/>
    </row>
    <row r="777" spans="1:1" ht="14.25" customHeight="1" x14ac:dyDescent="0.2">
      <c r="A777" s="61"/>
    </row>
    <row r="778" spans="1:1" ht="14.25" customHeight="1" x14ac:dyDescent="0.2">
      <c r="A778" s="61"/>
    </row>
    <row r="779" spans="1:1" ht="14.25" customHeight="1" x14ac:dyDescent="0.2">
      <c r="A779" s="61"/>
    </row>
    <row r="780" spans="1:1" ht="14.25" customHeight="1" x14ac:dyDescent="0.2">
      <c r="A780" s="61"/>
    </row>
    <row r="781" spans="1:1" ht="14.25" customHeight="1" x14ac:dyDescent="0.2">
      <c r="A781" s="61"/>
    </row>
    <row r="782" spans="1:1" ht="14.25" customHeight="1" x14ac:dyDescent="0.2">
      <c r="A782" s="61"/>
    </row>
    <row r="783" spans="1:1" ht="14.25" customHeight="1" x14ac:dyDescent="0.2">
      <c r="A783" s="61"/>
    </row>
    <row r="784" spans="1:1" ht="14.25" customHeight="1" x14ac:dyDescent="0.2">
      <c r="A784" s="61"/>
    </row>
    <row r="785" spans="1:1" ht="14.25" customHeight="1" x14ac:dyDescent="0.2">
      <c r="A785" s="61"/>
    </row>
    <row r="786" spans="1:1" ht="14.25" customHeight="1" x14ac:dyDescent="0.2">
      <c r="A786" s="61"/>
    </row>
    <row r="787" spans="1:1" ht="14.25" customHeight="1" x14ac:dyDescent="0.2">
      <c r="A787" s="61"/>
    </row>
    <row r="788" spans="1:1" ht="14.25" customHeight="1" x14ac:dyDescent="0.2">
      <c r="A788" s="61"/>
    </row>
    <row r="789" spans="1:1" ht="14.25" customHeight="1" x14ac:dyDescent="0.2">
      <c r="A789" s="61"/>
    </row>
    <row r="790" spans="1:1" ht="14.25" customHeight="1" x14ac:dyDescent="0.2">
      <c r="A790" s="61"/>
    </row>
    <row r="791" spans="1:1" ht="14.25" customHeight="1" x14ac:dyDescent="0.2">
      <c r="A791" s="61"/>
    </row>
    <row r="792" spans="1:1" ht="14.25" customHeight="1" x14ac:dyDescent="0.2">
      <c r="A792" s="61"/>
    </row>
    <row r="793" spans="1:1" ht="14.25" customHeight="1" x14ac:dyDescent="0.2">
      <c r="A793" s="61"/>
    </row>
    <row r="794" spans="1:1" ht="14.25" customHeight="1" x14ac:dyDescent="0.2">
      <c r="A794" s="61"/>
    </row>
    <row r="795" spans="1:1" ht="14.25" customHeight="1" x14ac:dyDescent="0.2">
      <c r="A795" s="61"/>
    </row>
    <row r="796" spans="1:1" ht="14.25" customHeight="1" x14ac:dyDescent="0.2">
      <c r="A796" s="61"/>
    </row>
    <row r="797" spans="1:1" ht="14.25" customHeight="1" x14ac:dyDescent="0.2">
      <c r="A797" s="61"/>
    </row>
    <row r="798" spans="1:1" ht="14.25" customHeight="1" x14ac:dyDescent="0.2">
      <c r="A798" s="61"/>
    </row>
    <row r="799" spans="1:1" ht="14.25" customHeight="1" x14ac:dyDescent="0.2">
      <c r="A799" s="61"/>
    </row>
    <row r="800" spans="1:1" ht="14.25" customHeight="1" x14ac:dyDescent="0.2">
      <c r="A800" s="61"/>
    </row>
    <row r="801" spans="1:1" ht="14.25" customHeight="1" x14ac:dyDescent="0.2">
      <c r="A801" s="61"/>
    </row>
    <row r="802" spans="1:1" ht="14.25" customHeight="1" x14ac:dyDescent="0.2">
      <c r="A802" s="61"/>
    </row>
    <row r="803" spans="1:1" ht="14.25" customHeight="1" x14ac:dyDescent="0.2">
      <c r="A803" s="61"/>
    </row>
    <row r="804" spans="1:1" ht="14.25" customHeight="1" x14ac:dyDescent="0.2">
      <c r="A804" s="61"/>
    </row>
    <row r="805" spans="1:1" ht="14.25" customHeight="1" x14ac:dyDescent="0.2">
      <c r="A805" s="61"/>
    </row>
    <row r="806" spans="1:1" ht="14.25" customHeight="1" x14ac:dyDescent="0.2">
      <c r="A806" s="61"/>
    </row>
    <row r="807" spans="1:1" ht="14.25" customHeight="1" x14ac:dyDescent="0.2">
      <c r="A807" s="61"/>
    </row>
    <row r="808" spans="1:1" ht="14.25" customHeight="1" x14ac:dyDescent="0.2">
      <c r="A808" s="61"/>
    </row>
    <row r="809" spans="1:1" ht="14.25" customHeight="1" x14ac:dyDescent="0.2">
      <c r="A809" s="61"/>
    </row>
    <row r="810" spans="1:1" ht="14.25" customHeight="1" x14ac:dyDescent="0.2">
      <c r="A810" s="61"/>
    </row>
    <row r="811" spans="1:1" ht="14.25" customHeight="1" x14ac:dyDescent="0.2">
      <c r="A811" s="61"/>
    </row>
    <row r="812" spans="1:1" ht="14.25" customHeight="1" x14ac:dyDescent="0.2">
      <c r="A812" s="61"/>
    </row>
    <row r="813" spans="1:1" ht="14.25" customHeight="1" x14ac:dyDescent="0.2">
      <c r="A813" s="61"/>
    </row>
    <row r="814" spans="1:1" ht="14.25" customHeight="1" x14ac:dyDescent="0.2">
      <c r="A814" s="61"/>
    </row>
    <row r="815" spans="1:1" ht="14.25" customHeight="1" x14ac:dyDescent="0.2">
      <c r="A815" s="61"/>
    </row>
    <row r="816" spans="1:1" ht="14.25" customHeight="1" x14ac:dyDescent="0.2">
      <c r="A816" s="61"/>
    </row>
    <row r="817" spans="1:1" ht="14.25" customHeight="1" x14ac:dyDescent="0.2">
      <c r="A817" s="61"/>
    </row>
    <row r="818" spans="1:1" ht="14.25" customHeight="1" x14ac:dyDescent="0.2">
      <c r="A818" s="61"/>
    </row>
    <row r="819" spans="1:1" ht="14.25" customHeight="1" x14ac:dyDescent="0.2">
      <c r="A819" s="61"/>
    </row>
    <row r="820" spans="1:1" ht="14.25" customHeight="1" x14ac:dyDescent="0.2">
      <c r="A820" s="61"/>
    </row>
    <row r="821" spans="1:1" ht="14.25" customHeight="1" x14ac:dyDescent="0.2">
      <c r="A821" s="61"/>
    </row>
    <row r="822" spans="1:1" ht="14.25" customHeight="1" x14ac:dyDescent="0.2">
      <c r="A822" s="61"/>
    </row>
    <row r="823" spans="1:1" ht="14.25" customHeight="1" x14ac:dyDescent="0.2">
      <c r="A823" s="61"/>
    </row>
    <row r="824" spans="1:1" ht="14.25" customHeight="1" x14ac:dyDescent="0.2">
      <c r="A824" s="61"/>
    </row>
    <row r="825" spans="1:1" ht="14.25" customHeight="1" x14ac:dyDescent="0.2">
      <c r="A825" s="61"/>
    </row>
    <row r="826" spans="1:1" ht="14.25" customHeight="1" x14ac:dyDescent="0.2">
      <c r="A826" s="61"/>
    </row>
    <row r="827" spans="1:1" ht="14.25" customHeight="1" x14ac:dyDescent="0.2">
      <c r="A827" s="61"/>
    </row>
    <row r="828" spans="1:1" ht="14.25" customHeight="1" x14ac:dyDescent="0.2">
      <c r="A828" s="61"/>
    </row>
    <row r="829" spans="1:1" ht="14.25" customHeight="1" x14ac:dyDescent="0.2">
      <c r="A829" s="61"/>
    </row>
    <row r="830" spans="1:1" ht="14.25" customHeight="1" x14ac:dyDescent="0.2">
      <c r="A830" s="61"/>
    </row>
    <row r="831" spans="1:1" ht="14.25" customHeight="1" x14ac:dyDescent="0.2">
      <c r="A831" s="61"/>
    </row>
    <row r="832" spans="1:1" ht="14.25" customHeight="1" x14ac:dyDescent="0.2">
      <c r="A832" s="61"/>
    </row>
    <row r="833" spans="1:1" ht="14.25" customHeight="1" x14ac:dyDescent="0.2">
      <c r="A833" s="61"/>
    </row>
    <row r="834" spans="1:1" ht="14.25" customHeight="1" x14ac:dyDescent="0.2">
      <c r="A834" s="61"/>
    </row>
    <row r="835" spans="1:1" ht="14.25" customHeight="1" x14ac:dyDescent="0.2">
      <c r="A835" s="61"/>
    </row>
    <row r="836" spans="1:1" ht="14.25" customHeight="1" x14ac:dyDescent="0.2">
      <c r="A836" s="61"/>
    </row>
    <row r="837" spans="1:1" ht="14.25" customHeight="1" x14ac:dyDescent="0.2">
      <c r="A837" s="61"/>
    </row>
    <row r="838" spans="1:1" ht="14.25" customHeight="1" x14ac:dyDescent="0.2">
      <c r="A838" s="61"/>
    </row>
    <row r="839" spans="1:1" ht="14.25" customHeight="1" x14ac:dyDescent="0.2">
      <c r="A839" s="61"/>
    </row>
    <row r="840" spans="1:1" ht="14.25" customHeight="1" x14ac:dyDescent="0.2">
      <c r="A840" s="61"/>
    </row>
    <row r="841" spans="1:1" ht="14.25" customHeight="1" x14ac:dyDescent="0.2">
      <c r="A841" s="61"/>
    </row>
    <row r="842" spans="1:1" ht="14.25" customHeight="1" x14ac:dyDescent="0.2">
      <c r="A842" s="61"/>
    </row>
    <row r="843" spans="1:1" ht="14.25" customHeight="1" x14ac:dyDescent="0.2">
      <c r="A843" s="61"/>
    </row>
    <row r="844" spans="1:1" ht="14.25" customHeight="1" x14ac:dyDescent="0.2">
      <c r="A844" s="61"/>
    </row>
    <row r="845" spans="1:1" ht="14.25" customHeight="1" x14ac:dyDescent="0.2">
      <c r="A845" s="61"/>
    </row>
    <row r="846" spans="1:1" ht="14.25" customHeight="1" x14ac:dyDescent="0.2">
      <c r="A846" s="61"/>
    </row>
    <row r="847" spans="1:1" ht="14.25" customHeight="1" x14ac:dyDescent="0.2">
      <c r="A847" s="61"/>
    </row>
    <row r="848" spans="1:1" ht="14.25" customHeight="1" x14ac:dyDescent="0.2">
      <c r="A848" s="61"/>
    </row>
    <row r="849" spans="1:1" ht="14.25" customHeight="1" x14ac:dyDescent="0.2">
      <c r="A849" s="61"/>
    </row>
    <row r="850" spans="1:1" ht="14.25" customHeight="1" x14ac:dyDescent="0.2">
      <c r="A850" s="61"/>
    </row>
    <row r="851" spans="1:1" ht="14.25" customHeight="1" x14ac:dyDescent="0.2">
      <c r="A851" s="61"/>
    </row>
    <row r="852" spans="1:1" ht="14.25" customHeight="1" x14ac:dyDescent="0.2">
      <c r="A852" s="61"/>
    </row>
    <row r="853" spans="1:1" ht="14.25" customHeight="1" x14ac:dyDescent="0.2">
      <c r="A853" s="61"/>
    </row>
    <row r="854" spans="1:1" ht="14.25" customHeight="1" x14ac:dyDescent="0.2">
      <c r="A854" s="61"/>
    </row>
    <row r="855" spans="1:1" ht="14.25" customHeight="1" x14ac:dyDescent="0.2">
      <c r="A855" s="61"/>
    </row>
    <row r="856" spans="1:1" ht="14.25" customHeight="1" x14ac:dyDescent="0.2">
      <c r="A856" s="61"/>
    </row>
    <row r="857" spans="1:1" ht="14.25" customHeight="1" x14ac:dyDescent="0.2">
      <c r="A857" s="61"/>
    </row>
    <row r="858" spans="1:1" ht="14.25" customHeight="1" x14ac:dyDescent="0.2">
      <c r="A858" s="61"/>
    </row>
    <row r="859" spans="1:1" ht="14.25" customHeight="1" x14ac:dyDescent="0.2">
      <c r="A859" s="61"/>
    </row>
    <row r="860" spans="1:1" ht="14.25" customHeight="1" x14ac:dyDescent="0.2">
      <c r="A860" s="61"/>
    </row>
    <row r="861" spans="1:1" ht="14.25" customHeight="1" x14ac:dyDescent="0.2">
      <c r="A861" s="61"/>
    </row>
    <row r="862" spans="1:1" ht="14.25" customHeight="1" x14ac:dyDescent="0.2">
      <c r="A862" s="61"/>
    </row>
    <row r="863" spans="1:1" ht="14.25" customHeight="1" x14ac:dyDescent="0.2">
      <c r="A863" s="61"/>
    </row>
    <row r="864" spans="1:1" ht="14.25" customHeight="1" x14ac:dyDescent="0.2">
      <c r="A864" s="61"/>
    </row>
    <row r="865" spans="1:1" ht="14.25" customHeight="1" x14ac:dyDescent="0.2">
      <c r="A865" s="61"/>
    </row>
    <row r="866" spans="1:1" ht="14.25" customHeight="1" x14ac:dyDescent="0.2">
      <c r="A866" s="61"/>
    </row>
    <row r="867" spans="1:1" ht="14.25" customHeight="1" x14ac:dyDescent="0.2">
      <c r="A867" s="61"/>
    </row>
    <row r="868" spans="1:1" ht="14.25" customHeight="1" x14ac:dyDescent="0.2">
      <c r="A868" s="61"/>
    </row>
    <row r="869" spans="1:1" ht="14.25" customHeight="1" x14ac:dyDescent="0.2">
      <c r="A869" s="61"/>
    </row>
    <row r="870" spans="1:1" ht="14.25" customHeight="1" x14ac:dyDescent="0.2">
      <c r="A870" s="61"/>
    </row>
    <row r="871" spans="1:1" ht="14.25" customHeight="1" x14ac:dyDescent="0.2">
      <c r="A871" s="61"/>
    </row>
    <row r="872" spans="1:1" ht="14.25" customHeight="1" x14ac:dyDescent="0.2">
      <c r="A872" s="61"/>
    </row>
    <row r="873" spans="1:1" ht="14.25" customHeight="1" x14ac:dyDescent="0.2">
      <c r="A873" s="61"/>
    </row>
    <row r="874" spans="1:1" ht="14.25" customHeight="1" x14ac:dyDescent="0.2">
      <c r="A874" s="61"/>
    </row>
    <row r="875" spans="1:1" ht="14.25" customHeight="1" x14ac:dyDescent="0.2">
      <c r="A875" s="61"/>
    </row>
    <row r="876" spans="1:1" ht="14.25" customHeight="1" x14ac:dyDescent="0.2">
      <c r="A876" s="61"/>
    </row>
    <row r="877" spans="1:1" ht="14.25" customHeight="1" x14ac:dyDescent="0.2">
      <c r="A877" s="61"/>
    </row>
    <row r="878" spans="1:1" ht="14.25" customHeight="1" x14ac:dyDescent="0.2">
      <c r="A878" s="61"/>
    </row>
    <row r="879" spans="1:1" ht="14.25" customHeight="1" x14ac:dyDescent="0.2">
      <c r="A879" s="61"/>
    </row>
    <row r="880" spans="1:1" ht="14.25" customHeight="1" x14ac:dyDescent="0.2">
      <c r="A880" s="61"/>
    </row>
    <row r="881" spans="1:1" ht="14.25" customHeight="1" x14ac:dyDescent="0.2">
      <c r="A881" s="61"/>
    </row>
    <row r="882" spans="1:1" ht="14.25" customHeight="1" x14ac:dyDescent="0.2">
      <c r="A882" s="61"/>
    </row>
    <row r="883" spans="1:1" ht="14.25" customHeight="1" x14ac:dyDescent="0.2">
      <c r="A883" s="61"/>
    </row>
    <row r="884" spans="1:1" ht="14.25" customHeight="1" x14ac:dyDescent="0.2">
      <c r="A884" s="61"/>
    </row>
    <row r="885" spans="1:1" ht="14.25" customHeight="1" x14ac:dyDescent="0.2">
      <c r="A885" s="61"/>
    </row>
    <row r="886" spans="1:1" ht="14.25" customHeight="1" x14ac:dyDescent="0.2">
      <c r="A886" s="61"/>
    </row>
    <row r="887" spans="1:1" ht="14.25" customHeight="1" x14ac:dyDescent="0.2">
      <c r="A887" s="61"/>
    </row>
    <row r="888" spans="1:1" ht="14.25" customHeight="1" x14ac:dyDescent="0.2">
      <c r="A888" s="61"/>
    </row>
    <row r="889" spans="1:1" ht="14.25" customHeight="1" x14ac:dyDescent="0.2">
      <c r="A889" s="61"/>
    </row>
    <row r="890" spans="1:1" ht="14.25" customHeight="1" x14ac:dyDescent="0.2">
      <c r="A890" s="61"/>
    </row>
    <row r="891" spans="1:1" ht="14.25" customHeight="1" x14ac:dyDescent="0.2">
      <c r="A891" s="61"/>
    </row>
    <row r="892" spans="1:1" ht="14.25" customHeight="1" x14ac:dyDescent="0.2">
      <c r="A892" s="61"/>
    </row>
    <row r="893" spans="1:1" ht="14.25" customHeight="1" x14ac:dyDescent="0.2">
      <c r="A893" s="61"/>
    </row>
    <row r="894" spans="1:1" ht="14.25" customHeight="1" x14ac:dyDescent="0.2">
      <c r="A894" s="61"/>
    </row>
    <row r="895" spans="1:1" ht="14.25" customHeight="1" x14ac:dyDescent="0.2">
      <c r="A895" s="61"/>
    </row>
    <row r="896" spans="1:1" ht="14.25" customHeight="1" x14ac:dyDescent="0.2">
      <c r="A896" s="61"/>
    </row>
    <row r="897" spans="1:1" ht="14.25" customHeight="1" x14ac:dyDescent="0.2">
      <c r="A897" s="61"/>
    </row>
    <row r="898" spans="1:1" ht="14.25" customHeight="1" x14ac:dyDescent="0.2">
      <c r="A898" s="61"/>
    </row>
    <row r="899" spans="1:1" ht="14.25" customHeight="1" x14ac:dyDescent="0.2">
      <c r="A899" s="61"/>
    </row>
    <row r="900" spans="1:1" ht="14.25" customHeight="1" x14ac:dyDescent="0.2">
      <c r="A900" s="61"/>
    </row>
    <row r="901" spans="1:1" ht="14.25" customHeight="1" x14ac:dyDescent="0.2">
      <c r="A901" s="61"/>
    </row>
    <row r="902" spans="1:1" ht="14.25" customHeight="1" x14ac:dyDescent="0.2">
      <c r="A902" s="61"/>
    </row>
    <row r="903" spans="1:1" ht="14.25" customHeight="1" x14ac:dyDescent="0.2">
      <c r="A903" s="61"/>
    </row>
    <row r="904" spans="1:1" ht="14.25" customHeight="1" x14ac:dyDescent="0.2">
      <c r="A904" s="61"/>
    </row>
    <row r="905" spans="1:1" ht="14.25" customHeight="1" x14ac:dyDescent="0.2">
      <c r="A905" s="61"/>
    </row>
    <row r="906" spans="1:1" ht="14.25" customHeight="1" x14ac:dyDescent="0.2">
      <c r="A906" s="61"/>
    </row>
    <row r="907" spans="1:1" ht="14.25" customHeight="1" x14ac:dyDescent="0.2">
      <c r="A907" s="61"/>
    </row>
    <row r="908" spans="1:1" ht="14.25" customHeight="1" x14ac:dyDescent="0.2">
      <c r="A908" s="61"/>
    </row>
    <row r="909" spans="1:1" ht="14.25" customHeight="1" x14ac:dyDescent="0.2">
      <c r="A909" s="61"/>
    </row>
    <row r="910" spans="1:1" ht="14.25" customHeight="1" x14ac:dyDescent="0.2">
      <c r="A910" s="61"/>
    </row>
    <row r="911" spans="1:1" ht="14.25" customHeight="1" x14ac:dyDescent="0.2">
      <c r="A911" s="61"/>
    </row>
    <row r="912" spans="1:1" ht="14.25" customHeight="1" x14ac:dyDescent="0.2">
      <c r="A912" s="61"/>
    </row>
    <row r="913" spans="1:1" ht="14.25" customHeight="1" x14ac:dyDescent="0.2">
      <c r="A913" s="61"/>
    </row>
    <row r="914" spans="1:1" ht="14.25" customHeight="1" x14ac:dyDescent="0.2">
      <c r="A914" s="61"/>
    </row>
    <row r="915" spans="1:1" ht="14.25" customHeight="1" x14ac:dyDescent="0.2">
      <c r="A915" s="61"/>
    </row>
    <row r="916" spans="1:1" ht="14.25" customHeight="1" x14ac:dyDescent="0.2">
      <c r="A916" s="61"/>
    </row>
    <row r="917" spans="1:1" ht="14.25" customHeight="1" x14ac:dyDescent="0.2">
      <c r="A917" s="61"/>
    </row>
    <row r="918" spans="1:1" ht="14.25" customHeight="1" x14ac:dyDescent="0.2">
      <c r="A918" s="61"/>
    </row>
    <row r="919" spans="1:1" ht="14.25" customHeight="1" x14ac:dyDescent="0.2">
      <c r="A919" s="61"/>
    </row>
    <row r="920" spans="1:1" ht="14.25" customHeight="1" x14ac:dyDescent="0.2">
      <c r="A920" s="61"/>
    </row>
    <row r="921" spans="1:1" ht="14.25" customHeight="1" x14ac:dyDescent="0.2">
      <c r="A921" s="61"/>
    </row>
    <row r="922" spans="1:1" ht="14.25" customHeight="1" x14ac:dyDescent="0.2">
      <c r="A922" s="61"/>
    </row>
    <row r="923" spans="1:1" ht="14.25" customHeight="1" x14ac:dyDescent="0.2">
      <c r="A923" s="61"/>
    </row>
    <row r="924" spans="1:1" ht="14.25" customHeight="1" x14ac:dyDescent="0.2">
      <c r="A924" s="61"/>
    </row>
    <row r="925" spans="1:1" ht="14.25" customHeight="1" x14ac:dyDescent="0.2">
      <c r="A925" s="61"/>
    </row>
    <row r="926" spans="1:1" ht="14.25" customHeight="1" x14ac:dyDescent="0.2">
      <c r="A926" s="61"/>
    </row>
    <row r="927" spans="1:1" ht="14.25" customHeight="1" x14ac:dyDescent="0.2">
      <c r="A927" s="61"/>
    </row>
    <row r="928" spans="1:1" ht="14.25" customHeight="1" x14ac:dyDescent="0.2">
      <c r="A928" s="61"/>
    </row>
    <row r="929" spans="1:1" ht="14.25" customHeight="1" x14ac:dyDescent="0.2">
      <c r="A929" s="61"/>
    </row>
    <row r="930" spans="1:1" ht="14.25" customHeight="1" x14ac:dyDescent="0.2">
      <c r="A930" s="61"/>
    </row>
    <row r="931" spans="1:1" ht="14.25" customHeight="1" x14ac:dyDescent="0.2">
      <c r="A931" s="61"/>
    </row>
    <row r="932" spans="1:1" ht="14.25" customHeight="1" x14ac:dyDescent="0.2">
      <c r="A932" s="61"/>
    </row>
    <row r="933" spans="1:1" ht="14.25" customHeight="1" x14ac:dyDescent="0.2">
      <c r="A933" s="61"/>
    </row>
    <row r="934" spans="1:1" ht="14.25" customHeight="1" x14ac:dyDescent="0.2">
      <c r="A934" s="61"/>
    </row>
    <row r="935" spans="1:1" ht="14.25" customHeight="1" x14ac:dyDescent="0.2">
      <c r="A935" s="61"/>
    </row>
    <row r="936" spans="1:1" ht="14.25" customHeight="1" x14ac:dyDescent="0.2">
      <c r="A936" s="61"/>
    </row>
    <row r="937" spans="1:1" ht="14.25" customHeight="1" x14ac:dyDescent="0.2">
      <c r="A937" s="61"/>
    </row>
    <row r="938" spans="1:1" ht="14.25" customHeight="1" x14ac:dyDescent="0.2">
      <c r="A938" s="61"/>
    </row>
    <row r="939" spans="1:1" ht="14.25" customHeight="1" x14ac:dyDescent="0.2">
      <c r="A939" s="61"/>
    </row>
    <row r="940" spans="1:1" ht="14.25" customHeight="1" x14ac:dyDescent="0.2">
      <c r="A940" s="61"/>
    </row>
    <row r="941" spans="1:1" ht="14.25" customHeight="1" x14ac:dyDescent="0.2">
      <c r="A941" s="61"/>
    </row>
    <row r="942" spans="1:1" ht="14.25" customHeight="1" x14ac:dyDescent="0.2">
      <c r="A942" s="61"/>
    </row>
    <row r="943" spans="1:1" ht="14.25" customHeight="1" x14ac:dyDescent="0.2">
      <c r="A943" s="61"/>
    </row>
    <row r="944" spans="1:1" ht="14.25" customHeight="1" x14ac:dyDescent="0.2">
      <c r="A944" s="61"/>
    </row>
    <row r="945" spans="1:1" ht="14.25" customHeight="1" x14ac:dyDescent="0.2">
      <c r="A945" s="61"/>
    </row>
    <row r="946" spans="1:1" ht="14.25" customHeight="1" x14ac:dyDescent="0.2">
      <c r="A946" s="61"/>
    </row>
    <row r="947" spans="1:1" ht="14.25" customHeight="1" x14ac:dyDescent="0.2">
      <c r="A947" s="61"/>
    </row>
    <row r="948" spans="1:1" ht="14.25" customHeight="1" x14ac:dyDescent="0.2">
      <c r="A948" s="61"/>
    </row>
    <row r="949" spans="1:1" ht="14.25" customHeight="1" x14ac:dyDescent="0.2">
      <c r="A949" s="61"/>
    </row>
    <row r="950" spans="1:1" ht="14.25" customHeight="1" x14ac:dyDescent="0.2">
      <c r="A950" s="61"/>
    </row>
    <row r="951" spans="1:1" ht="14.25" customHeight="1" x14ac:dyDescent="0.2">
      <c r="A951" s="61"/>
    </row>
    <row r="952" spans="1:1" ht="14.25" customHeight="1" x14ac:dyDescent="0.2">
      <c r="A952" s="61"/>
    </row>
    <row r="953" spans="1:1" ht="14.25" customHeight="1" x14ac:dyDescent="0.2">
      <c r="A953" s="61"/>
    </row>
    <row r="954" spans="1:1" ht="14.25" customHeight="1" x14ac:dyDescent="0.2">
      <c r="A954" s="61"/>
    </row>
    <row r="955" spans="1:1" ht="14.25" customHeight="1" x14ac:dyDescent="0.2">
      <c r="A955" s="61"/>
    </row>
    <row r="956" spans="1:1" ht="14.25" customHeight="1" x14ac:dyDescent="0.2">
      <c r="A956" s="61"/>
    </row>
    <row r="957" spans="1:1" ht="14.25" customHeight="1" x14ac:dyDescent="0.2">
      <c r="A957" s="61"/>
    </row>
    <row r="958" spans="1:1" ht="14.25" customHeight="1" x14ac:dyDescent="0.2">
      <c r="A958" s="61"/>
    </row>
    <row r="959" spans="1:1" ht="14.25" customHeight="1" x14ac:dyDescent="0.2">
      <c r="A959" s="61"/>
    </row>
    <row r="960" spans="1:1" ht="14.25" customHeight="1" x14ac:dyDescent="0.2">
      <c r="A960" s="61"/>
    </row>
    <row r="961" spans="1:1" ht="14.25" customHeight="1" x14ac:dyDescent="0.2">
      <c r="A961" s="61"/>
    </row>
    <row r="962" spans="1:1" ht="14.25" customHeight="1" x14ac:dyDescent="0.2">
      <c r="A962" s="61"/>
    </row>
    <row r="963" spans="1:1" ht="14.25" customHeight="1" x14ac:dyDescent="0.2">
      <c r="A963" s="61"/>
    </row>
    <row r="964" spans="1:1" ht="14.25" customHeight="1" x14ac:dyDescent="0.2">
      <c r="A964" s="61"/>
    </row>
    <row r="965" spans="1:1" ht="14.25" customHeight="1" x14ac:dyDescent="0.2">
      <c r="A965" s="61"/>
    </row>
    <row r="966" spans="1:1" ht="14.25" customHeight="1" x14ac:dyDescent="0.2">
      <c r="A966" s="61"/>
    </row>
    <row r="967" spans="1:1" ht="14.25" customHeight="1" x14ac:dyDescent="0.2">
      <c r="A967" s="61"/>
    </row>
    <row r="968" spans="1:1" ht="14.25" customHeight="1" x14ac:dyDescent="0.2">
      <c r="A968" s="61"/>
    </row>
    <row r="969" spans="1:1" ht="14.25" customHeight="1" x14ac:dyDescent="0.2">
      <c r="A969" s="61"/>
    </row>
    <row r="970" spans="1:1" ht="14.25" customHeight="1" x14ac:dyDescent="0.2">
      <c r="A970" s="61"/>
    </row>
    <row r="971" spans="1:1" ht="14.25" customHeight="1" x14ac:dyDescent="0.2">
      <c r="A971" s="61"/>
    </row>
    <row r="972" spans="1:1" ht="14.25" customHeight="1" x14ac:dyDescent="0.2">
      <c r="A972" s="61"/>
    </row>
    <row r="973" spans="1:1" ht="14.25" customHeight="1" x14ac:dyDescent="0.2">
      <c r="A973" s="61"/>
    </row>
    <row r="974" spans="1:1" ht="14.25" customHeight="1" x14ac:dyDescent="0.2">
      <c r="A974" s="61"/>
    </row>
    <row r="975" spans="1:1" ht="14.25" customHeight="1" x14ac:dyDescent="0.2">
      <c r="A975" s="61"/>
    </row>
    <row r="976" spans="1:1" ht="14.25" customHeight="1" x14ac:dyDescent="0.2">
      <c r="A976" s="61"/>
    </row>
    <row r="977" spans="1:1" ht="14.25" customHeight="1" x14ac:dyDescent="0.2">
      <c r="A977" s="61"/>
    </row>
    <row r="978" spans="1:1" ht="14.25" customHeight="1" x14ac:dyDescent="0.2">
      <c r="A978" s="61"/>
    </row>
    <row r="979" spans="1:1" ht="14.25" customHeight="1" x14ac:dyDescent="0.2">
      <c r="A979" s="61"/>
    </row>
    <row r="980" spans="1:1" ht="14.25" customHeight="1" x14ac:dyDescent="0.2">
      <c r="A980" s="61"/>
    </row>
    <row r="981" spans="1:1" ht="14.25" customHeight="1" x14ac:dyDescent="0.2">
      <c r="A981" s="61"/>
    </row>
    <row r="982" spans="1:1" ht="14.25" customHeight="1" x14ac:dyDescent="0.2">
      <c r="A982" s="61"/>
    </row>
    <row r="983" spans="1:1" ht="14.25" customHeight="1" x14ac:dyDescent="0.2">
      <c r="A983" s="61"/>
    </row>
    <row r="984" spans="1:1" ht="14.25" customHeight="1" x14ac:dyDescent="0.2">
      <c r="A984" s="61"/>
    </row>
    <row r="985" spans="1:1" ht="14.25" customHeight="1" x14ac:dyDescent="0.2">
      <c r="A985" s="61"/>
    </row>
    <row r="986" spans="1:1" ht="14.25" customHeight="1" x14ac:dyDescent="0.2">
      <c r="A986" s="61"/>
    </row>
    <row r="987" spans="1:1" ht="14.25" customHeight="1" x14ac:dyDescent="0.2">
      <c r="A987" s="61"/>
    </row>
    <row r="988" spans="1:1" ht="14.25" customHeight="1" x14ac:dyDescent="0.2">
      <c r="A988" s="61"/>
    </row>
    <row r="989" spans="1:1" ht="14.25" customHeight="1" x14ac:dyDescent="0.2">
      <c r="A989" s="61"/>
    </row>
    <row r="990" spans="1:1" ht="14.25" customHeight="1" x14ac:dyDescent="0.2">
      <c r="A990" s="61"/>
    </row>
    <row r="991" spans="1:1" ht="14.25" customHeight="1" x14ac:dyDescent="0.2">
      <c r="A991" s="61"/>
    </row>
    <row r="992" spans="1:1" ht="14.25" customHeight="1" x14ac:dyDescent="0.2">
      <c r="A992" s="61"/>
    </row>
    <row r="993" spans="1:1" ht="14.25" customHeight="1" x14ac:dyDescent="0.2">
      <c r="A993" s="61"/>
    </row>
    <row r="994" spans="1:1" ht="14.25" customHeight="1" x14ac:dyDescent="0.2">
      <c r="A994" s="61"/>
    </row>
    <row r="995" spans="1:1" ht="14.25" customHeight="1" x14ac:dyDescent="0.2">
      <c r="A995" s="61"/>
    </row>
    <row r="996" spans="1:1" ht="14.25" customHeight="1" x14ac:dyDescent="0.2">
      <c r="A996" s="61"/>
    </row>
    <row r="997" spans="1:1" ht="14.25" customHeight="1" x14ac:dyDescent="0.2">
      <c r="A997" s="61"/>
    </row>
    <row r="998" spans="1:1" ht="14.25" customHeight="1" x14ac:dyDescent="0.2">
      <c r="A998" s="61"/>
    </row>
    <row r="999" spans="1:1" ht="14.25" customHeight="1" x14ac:dyDescent="0.2">
      <c r="A999" s="61"/>
    </row>
    <row r="1000" spans="1:1" ht="14.25" customHeight="1" x14ac:dyDescent="0.2">
      <c r="A1000" s="61"/>
    </row>
  </sheetData>
  <mergeCells count="45"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9:D9"/>
    <mergeCell ref="A10:D13"/>
    <mergeCell ref="A14:D14"/>
    <mergeCell ref="B16:F16"/>
    <mergeCell ref="B17:F17"/>
    <mergeCell ref="B18:F1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56:F56"/>
    <mergeCell ref="B58:F58"/>
    <mergeCell ref="B59:F59"/>
    <mergeCell ref="G59:H59"/>
    <mergeCell ref="G60:H60"/>
    <mergeCell ref="G61:H61"/>
    <mergeCell ref="B63:I64"/>
    <mergeCell ref="G68:I69"/>
    <mergeCell ref="B35:F35"/>
    <mergeCell ref="B48:F48"/>
    <mergeCell ref="B49:F49"/>
    <mergeCell ref="B50:F50"/>
    <mergeCell ref="B51:F51"/>
    <mergeCell ref="B52:F52"/>
    <mergeCell ref="B54:F54"/>
  </mergeCells>
  <hyperlinks>
    <hyperlink ref="K3" r:id="rId1" xr:uid="{00000000-0004-0000-0400-000000000000}"/>
  </hyperlinks>
  <printOptions horizontalCentered="1"/>
  <pageMargins left="0.5" right="0.5" top="0.5" bottom="0.5" header="0" footer="0"/>
  <pageSetup orientation="portrait"/>
  <rowBreaks count="1" manualBreakCount="1">
    <brk id="4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954"/>
  <sheetViews>
    <sheetView showGridLines="0" tabSelected="1" topLeftCell="A15" workbookViewId="0">
      <selection activeCell="L33" sqref="L33"/>
    </sheetView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31.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7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4316</v>
      </c>
      <c r="H5" s="182"/>
      <c r="I5" s="11">
        <v>46112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121</v>
      </c>
      <c r="I8" s="18"/>
      <c r="K8" s="19"/>
    </row>
    <row r="9" spans="1:11" ht="14.25" customHeight="1" x14ac:dyDescent="0.2">
      <c r="A9" s="175" t="s">
        <v>122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20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123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56" t="s">
        <v>381</v>
      </c>
      <c r="C16" s="157"/>
      <c r="D16" s="157"/>
      <c r="E16" s="157"/>
      <c r="F16" s="158"/>
      <c r="G16" s="26"/>
      <c r="H16" s="24"/>
      <c r="I16" s="24"/>
      <c r="J16" s="27"/>
      <c r="K16" s="19"/>
    </row>
    <row r="17" spans="1:26" ht="14.25" customHeight="1" x14ac:dyDescent="0.2">
      <c r="A17" s="22"/>
      <c r="B17" s="30"/>
      <c r="C17" s="30"/>
      <c r="D17" s="30"/>
      <c r="E17" s="30"/>
      <c r="F17" s="31"/>
      <c r="G17" s="26"/>
      <c r="H17" s="24"/>
      <c r="I17" s="24"/>
      <c r="J17" s="27"/>
      <c r="K17" s="19"/>
    </row>
    <row r="18" spans="1:26" ht="14.25" x14ac:dyDescent="0.2">
      <c r="A18" s="22">
        <v>1</v>
      </c>
      <c r="B18" s="159" t="s">
        <v>377</v>
      </c>
      <c r="C18" s="160"/>
      <c r="D18" s="160"/>
      <c r="E18" s="160"/>
      <c r="F18" s="161"/>
      <c r="G18" s="32">
        <v>1</v>
      </c>
      <c r="H18" s="33">
        <v>4599</v>
      </c>
      <c r="I18" s="33">
        <v>4599</v>
      </c>
      <c r="J18" s="27">
        <v>2899</v>
      </c>
      <c r="K18" s="19"/>
    </row>
    <row r="19" spans="1:26" ht="14.25" x14ac:dyDescent="0.2">
      <c r="A19" s="230">
        <v>2</v>
      </c>
      <c r="B19" s="232" t="s">
        <v>378</v>
      </c>
      <c r="C19" s="233"/>
      <c r="D19" s="233"/>
      <c r="E19" s="233"/>
      <c r="F19" s="234"/>
      <c r="G19" s="32">
        <v>1</v>
      </c>
      <c r="H19" s="231">
        <v>1500</v>
      </c>
      <c r="I19" s="231">
        <v>1500</v>
      </c>
      <c r="J19" s="27">
        <v>1000</v>
      </c>
      <c r="K19" s="19"/>
    </row>
    <row r="20" spans="1:26" ht="14.25" x14ac:dyDescent="0.2">
      <c r="A20" s="230">
        <v>3</v>
      </c>
      <c r="B20" s="232" t="s">
        <v>379</v>
      </c>
      <c r="C20" s="233"/>
      <c r="D20" s="233"/>
      <c r="E20" s="233"/>
      <c r="F20" s="234"/>
      <c r="G20" s="32">
        <v>1</v>
      </c>
      <c r="H20" s="231">
        <v>400</v>
      </c>
      <c r="I20" s="231">
        <v>400</v>
      </c>
      <c r="J20" s="27">
        <v>200</v>
      </c>
      <c r="K20" s="19"/>
    </row>
    <row r="21" spans="1:26" ht="14.25" x14ac:dyDescent="0.2">
      <c r="A21" s="22">
        <v>2</v>
      </c>
      <c r="B21" s="166" t="s">
        <v>380</v>
      </c>
      <c r="C21" s="160"/>
      <c r="D21" s="160"/>
      <c r="E21" s="160"/>
      <c r="F21" s="161"/>
      <c r="G21" s="32">
        <v>1</v>
      </c>
      <c r="H21" s="33">
        <v>500</v>
      </c>
      <c r="I21" s="33">
        <v>500</v>
      </c>
      <c r="J21" s="27">
        <v>100</v>
      </c>
      <c r="K21" s="19"/>
    </row>
    <row r="22" spans="1:26" ht="14.25" customHeight="1" x14ac:dyDescent="0.2">
      <c r="A22" s="22"/>
      <c r="B22" s="25"/>
      <c r="C22" s="35"/>
      <c r="D22" s="35"/>
      <c r="E22" s="35"/>
      <c r="F22" s="45"/>
      <c r="G22" s="26"/>
      <c r="H22" s="33"/>
      <c r="I22" s="44"/>
      <c r="J22" s="27"/>
      <c r="K22" s="19"/>
      <c r="L22" s="38" t="s">
        <v>54</v>
      </c>
      <c r="M22" s="39" t="s">
        <v>55</v>
      </c>
      <c r="N22" s="40" t="s">
        <v>56</v>
      </c>
    </row>
    <row r="23" spans="1:26" ht="25.5" customHeight="1" x14ac:dyDescent="0.2">
      <c r="A23" s="47"/>
      <c r="B23" s="20"/>
      <c r="C23" s="20"/>
      <c r="D23" s="20"/>
      <c r="E23" s="20"/>
      <c r="F23" s="48"/>
      <c r="G23" s="49"/>
      <c r="H23" s="50"/>
      <c r="I23" s="51"/>
      <c r="J23" s="27"/>
      <c r="K23" s="19"/>
      <c r="L23" s="41">
        <f>I26</f>
        <v>6999</v>
      </c>
      <c r="M23" s="42">
        <f>SUM(J16:J22)</f>
        <v>4199</v>
      </c>
      <c r="N23" s="43">
        <f>L23-M23</f>
        <v>2800</v>
      </c>
    </row>
    <row r="24" spans="1:26" ht="27.75" customHeight="1" x14ac:dyDescent="0.2">
      <c r="A24" s="52"/>
      <c r="B24" s="167" t="s">
        <v>61</v>
      </c>
      <c r="C24" s="168"/>
      <c r="D24" s="168"/>
      <c r="E24" s="168"/>
      <c r="F24" s="169"/>
      <c r="G24" s="170" t="s">
        <v>62</v>
      </c>
      <c r="H24" s="168"/>
      <c r="I24" s="53">
        <f>SUM(I15:I22)</f>
        <v>6999</v>
      </c>
      <c r="J24" s="54"/>
      <c r="K24" s="12" t="s">
        <v>63</v>
      </c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24" hidden="1" customHeight="1" x14ac:dyDescent="0.2">
      <c r="A25" s="14"/>
      <c r="B25" s="7"/>
      <c r="C25" s="7"/>
      <c r="D25" s="7"/>
      <c r="E25" s="7"/>
      <c r="F25" s="7"/>
      <c r="G25" s="170" t="s">
        <v>95</v>
      </c>
      <c r="H25" s="168"/>
      <c r="I25" s="60"/>
      <c r="K25" s="12" t="s">
        <v>65</v>
      </c>
    </row>
    <row r="26" spans="1:26" ht="24" customHeight="1" x14ac:dyDescent="0.2">
      <c r="A26" s="14"/>
      <c r="B26" s="7"/>
      <c r="C26" s="7"/>
      <c r="D26" s="7"/>
      <c r="E26" s="7"/>
      <c r="F26" s="7"/>
      <c r="G26" s="162" t="s">
        <v>66</v>
      </c>
      <c r="H26" s="163"/>
      <c r="I26" s="55">
        <f>I24+I25</f>
        <v>6999</v>
      </c>
    </row>
    <row r="27" spans="1:26" ht="24" customHeight="1" x14ac:dyDescent="0.2">
      <c r="A27" s="14"/>
      <c r="B27" s="7"/>
      <c r="C27" s="7"/>
      <c r="D27" s="7"/>
      <c r="E27" s="7"/>
      <c r="F27" s="7"/>
      <c r="G27" s="56"/>
      <c r="H27" s="56"/>
      <c r="I27" s="57"/>
    </row>
    <row r="28" spans="1:26" ht="14.25" customHeight="1" x14ac:dyDescent="0.2">
      <c r="A28" s="14"/>
      <c r="B28" s="171" t="s">
        <v>67</v>
      </c>
      <c r="C28" s="165"/>
      <c r="D28" s="165"/>
      <c r="E28" s="165"/>
      <c r="F28" s="165"/>
      <c r="G28" s="165"/>
      <c r="H28" s="165"/>
      <c r="I28" s="165"/>
      <c r="K28" s="12" t="s">
        <v>68</v>
      </c>
    </row>
    <row r="29" spans="1:26" ht="14.25" customHeight="1" x14ac:dyDescent="0.2">
      <c r="A29" s="14"/>
      <c r="B29" s="165"/>
      <c r="C29" s="165"/>
      <c r="D29" s="165"/>
      <c r="E29" s="165"/>
      <c r="F29" s="165"/>
      <c r="G29" s="165"/>
      <c r="H29" s="165"/>
      <c r="I29" s="165"/>
      <c r="K29" s="12"/>
    </row>
    <row r="30" spans="1:26" ht="14.25" customHeight="1" x14ac:dyDescent="0.2">
      <c r="A30" s="14"/>
      <c r="B30" s="46" t="s">
        <v>69</v>
      </c>
    </row>
    <row r="31" spans="1:26" ht="14.25" customHeight="1" x14ac:dyDescent="0.2">
      <c r="A31" s="14"/>
      <c r="B31" s="20"/>
      <c r="C31" s="20"/>
      <c r="D31" s="20"/>
      <c r="E31" s="20"/>
      <c r="F31" s="20"/>
      <c r="G31" s="20"/>
      <c r="H31" s="20"/>
      <c r="I31" s="20"/>
    </row>
    <row r="32" spans="1:26" ht="14.25" customHeight="1" x14ac:dyDescent="0.2">
      <c r="A32" s="14"/>
      <c r="B32" s="58"/>
    </row>
    <row r="33" spans="1:11" ht="116.25" customHeight="1" x14ac:dyDescent="0.2">
      <c r="A33" s="14"/>
      <c r="B33" s="7"/>
      <c r="C33" s="7"/>
      <c r="D33" s="7"/>
      <c r="E33" s="7"/>
      <c r="F33" s="7"/>
      <c r="G33" s="164" t="s">
        <v>70</v>
      </c>
      <c r="H33" s="165"/>
      <c r="I33" s="165"/>
    </row>
    <row r="34" spans="1:11" ht="14.25" customHeight="1" x14ac:dyDescent="0.2">
      <c r="A34" s="14"/>
      <c r="B34" s="7"/>
      <c r="C34" s="7"/>
      <c r="D34" s="7"/>
      <c r="E34" s="7"/>
      <c r="F34" s="7"/>
      <c r="G34" s="165"/>
      <c r="H34" s="165"/>
      <c r="I34" s="165"/>
      <c r="K34" s="12" t="s">
        <v>71</v>
      </c>
    </row>
    <row r="35" spans="1:11" ht="14.25" customHeight="1" x14ac:dyDescent="0.2">
      <c r="A35" s="14"/>
      <c r="B35" s="59"/>
      <c r="C35" s="59"/>
      <c r="D35" s="59"/>
      <c r="E35" s="59"/>
      <c r="F35" s="59"/>
      <c r="G35" s="59"/>
      <c r="H35" s="59"/>
      <c r="I35" s="59"/>
      <c r="K35" s="12"/>
    </row>
    <row r="36" spans="1:11" ht="14.25" customHeight="1" x14ac:dyDescent="0.2">
      <c r="A36" s="14"/>
    </row>
    <row r="37" spans="1:11" ht="14.25" customHeight="1" x14ac:dyDescent="0.2">
      <c r="A37" s="14"/>
    </row>
    <row r="38" spans="1:11" ht="14.25" customHeight="1" x14ac:dyDescent="0.2">
      <c r="A38" s="14"/>
    </row>
    <row r="39" spans="1:11" ht="14.25" customHeight="1" x14ac:dyDescent="0.2">
      <c r="A39" s="14"/>
    </row>
    <row r="40" spans="1:11" ht="14.25" customHeight="1" x14ac:dyDescent="0.2">
      <c r="A40" s="14"/>
    </row>
    <row r="41" spans="1:11" ht="14.25" customHeight="1" x14ac:dyDescent="0.2">
      <c r="A41" s="14"/>
    </row>
    <row r="42" spans="1:11" ht="14.25" customHeight="1" x14ac:dyDescent="0.2">
      <c r="A42" s="14"/>
    </row>
    <row r="43" spans="1:11" ht="14.25" customHeight="1" x14ac:dyDescent="0.2">
      <c r="A43" s="14"/>
    </row>
    <row r="44" spans="1:11" ht="14.25" customHeight="1" x14ac:dyDescent="0.2">
      <c r="A44" s="14"/>
    </row>
    <row r="45" spans="1:11" ht="14.25" customHeight="1" x14ac:dyDescent="0.2">
      <c r="A45" s="14"/>
    </row>
    <row r="46" spans="1:11" ht="14.25" customHeight="1" x14ac:dyDescent="0.2">
      <c r="A46" s="14"/>
    </row>
    <row r="47" spans="1:11" ht="14.25" customHeight="1" x14ac:dyDescent="0.2">
      <c r="A47" s="14"/>
    </row>
    <row r="48" spans="1:11" ht="14.25" customHeight="1" x14ac:dyDescent="0.2">
      <c r="A48" s="14"/>
    </row>
    <row r="49" spans="1:1" ht="14.25" customHeight="1" x14ac:dyDescent="0.2">
      <c r="A49" s="14"/>
    </row>
    <row r="50" spans="1:1" ht="14.25" customHeight="1" x14ac:dyDescent="0.2">
      <c r="A50" s="14"/>
    </row>
    <row r="51" spans="1:1" ht="14.25" customHeight="1" x14ac:dyDescent="0.2">
      <c r="A51" s="14"/>
    </row>
    <row r="52" spans="1:1" ht="14.25" customHeight="1" x14ac:dyDescent="0.2">
      <c r="A52" s="14"/>
    </row>
    <row r="53" spans="1:1" ht="14.25" customHeight="1" x14ac:dyDescent="0.2">
      <c r="A53" s="14"/>
    </row>
    <row r="54" spans="1:1" ht="14.25" customHeight="1" x14ac:dyDescent="0.2">
      <c r="A54" s="14"/>
    </row>
    <row r="55" spans="1:1" ht="14.25" customHeight="1" x14ac:dyDescent="0.2">
      <c r="A55" s="14"/>
    </row>
    <row r="56" spans="1:1" ht="14.25" customHeight="1" x14ac:dyDescent="0.2">
      <c r="A56" s="14"/>
    </row>
    <row r="57" spans="1:1" ht="14.25" customHeight="1" x14ac:dyDescent="0.2">
      <c r="A57" s="14"/>
    </row>
    <row r="58" spans="1:1" ht="14.25" customHeight="1" x14ac:dyDescent="0.2">
      <c r="A58" s="14"/>
    </row>
    <row r="59" spans="1:1" ht="14.25" customHeight="1" x14ac:dyDescent="0.2">
      <c r="A59" s="14"/>
    </row>
    <row r="60" spans="1:1" ht="14.25" customHeight="1" x14ac:dyDescent="0.2">
      <c r="A60" s="14"/>
    </row>
    <row r="61" spans="1:1" ht="14.25" customHeight="1" x14ac:dyDescent="0.2">
      <c r="A61" s="14"/>
    </row>
    <row r="62" spans="1:1" ht="14.25" customHeight="1" x14ac:dyDescent="0.2">
      <c r="A62" s="14"/>
    </row>
    <row r="63" spans="1:1" ht="14.25" customHeight="1" x14ac:dyDescent="0.2">
      <c r="A63" s="14"/>
    </row>
    <row r="64" spans="1:1" ht="14.25" customHeight="1" x14ac:dyDescent="0.2">
      <c r="A64" s="14"/>
    </row>
    <row r="65" spans="1:1" ht="14.25" customHeight="1" x14ac:dyDescent="0.2">
      <c r="A65" s="14"/>
    </row>
    <row r="66" spans="1:1" ht="14.25" customHeight="1" x14ac:dyDescent="0.2">
      <c r="A66" s="14"/>
    </row>
    <row r="67" spans="1:1" ht="14.25" customHeight="1" x14ac:dyDescent="0.2">
      <c r="A67" s="14"/>
    </row>
    <row r="68" spans="1:1" ht="14.25" customHeight="1" x14ac:dyDescent="0.2">
      <c r="A68" s="14"/>
    </row>
    <row r="69" spans="1:1" ht="14.25" customHeight="1" x14ac:dyDescent="0.2">
      <c r="A69" s="14"/>
    </row>
    <row r="70" spans="1:1" ht="14.25" customHeight="1" x14ac:dyDescent="0.2">
      <c r="A70" s="14"/>
    </row>
    <row r="71" spans="1:1" ht="14.25" customHeight="1" x14ac:dyDescent="0.2">
      <c r="A71" s="14"/>
    </row>
    <row r="72" spans="1:1" ht="14.25" customHeight="1" x14ac:dyDescent="0.2">
      <c r="A72" s="14"/>
    </row>
    <row r="73" spans="1:1" ht="14.25" customHeight="1" x14ac:dyDescent="0.2">
      <c r="A73" s="14"/>
    </row>
    <row r="74" spans="1:1" ht="14.25" customHeight="1" x14ac:dyDescent="0.2">
      <c r="A74" s="14"/>
    </row>
    <row r="75" spans="1:1" ht="14.25" customHeight="1" x14ac:dyDescent="0.2">
      <c r="A75" s="14"/>
    </row>
    <row r="76" spans="1:1" ht="14.25" customHeight="1" x14ac:dyDescent="0.2">
      <c r="A76" s="14"/>
    </row>
    <row r="77" spans="1:1" ht="14.25" customHeight="1" x14ac:dyDescent="0.2">
      <c r="A77" s="14"/>
    </row>
    <row r="78" spans="1:1" ht="14.25" customHeight="1" x14ac:dyDescent="0.2">
      <c r="A78" s="14"/>
    </row>
    <row r="79" spans="1:1" ht="14.25" customHeight="1" x14ac:dyDescent="0.2">
      <c r="A79" s="14"/>
    </row>
    <row r="80" spans="1:1" ht="14.25" customHeight="1" x14ac:dyDescent="0.2">
      <c r="A80" s="14"/>
    </row>
    <row r="81" spans="1:1" ht="14.25" customHeight="1" x14ac:dyDescent="0.2">
      <c r="A81" s="14"/>
    </row>
    <row r="82" spans="1:1" ht="14.25" customHeight="1" x14ac:dyDescent="0.2">
      <c r="A82" s="14"/>
    </row>
    <row r="83" spans="1:1" ht="14.25" customHeight="1" x14ac:dyDescent="0.2">
      <c r="A83" s="14"/>
    </row>
    <row r="84" spans="1:1" ht="14.25" customHeight="1" x14ac:dyDescent="0.2">
      <c r="A84" s="14"/>
    </row>
    <row r="85" spans="1:1" ht="14.25" customHeight="1" x14ac:dyDescent="0.2">
      <c r="A85" s="14"/>
    </row>
    <row r="86" spans="1:1" ht="14.25" customHeight="1" x14ac:dyDescent="0.2">
      <c r="A86" s="14"/>
    </row>
    <row r="87" spans="1:1" ht="14.25" customHeight="1" x14ac:dyDescent="0.2">
      <c r="A87" s="14"/>
    </row>
    <row r="88" spans="1:1" ht="14.25" customHeight="1" x14ac:dyDescent="0.2">
      <c r="A88" s="14"/>
    </row>
    <row r="89" spans="1:1" ht="14.25" customHeight="1" x14ac:dyDescent="0.2">
      <c r="A89" s="14"/>
    </row>
    <row r="90" spans="1:1" ht="14.25" customHeight="1" x14ac:dyDescent="0.2">
      <c r="A90" s="14"/>
    </row>
    <row r="91" spans="1:1" ht="14.25" customHeight="1" x14ac:dyDescent="0.2">
      <c r="A91" s="14"/>
    </row>
    <row r="92" spans="1:1" ht="14.25" customHeight="1" x14ac:dyDescent="0.2">
      <c r="A92" s="14"/>
    </row>
    <row r="93" spans="1:1" ht="14.25" customHeight="1" x14ac:dyDescent="0.2">
      <c r="A93" s="14"/>
    </row>
    <row r="94" spans="1:1" ht="14.25" customHeight="1" x14ac:dyDescent="0.2">
      <c r="A94" s="14"/>
    </row>
    <row r="95" spans="1:1" ht="14.25" customHeight="1" x14ac:dyDescent="0.2">
      <c r="A95" s="14"/>
    </row>
    <row r="96" spans="1: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</sheetData>
  <mergeCells count="25"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G26:H26"/>
    <mergeCell ref="G33:I34"/>
    <mergeCell ref="B21:F21"/>
    <mergeCell ref="B24:F24"/>
    <mergeCell ref="G24:H24"/>
    <mergeCell ref="G25:H25"/>
    <mergeCell ref="B28:I29"/>
    <mergeCell ref="B19:F19"/>
    <mergeCell ref="B20:F20"/>
  </mergeCells>
  <hyperlinks>
    <hyperlink ref="K3" r:id="rId1" xr:uid="{00000000-0004-0000-0500-000000000000}"/>
  </hyperlinks>
  <printOptions horizontalCentered="1"/>
  <pageMargins left="0.5" right="0.5" top="0.5" bottom="0.5" header="0" footer="0"/>
  <pageSetup fitToHeight="0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2.625" defaultRowHeight="15" customHeight="1" x14ac:dyDescent="0.2"/>
  <cols>
    <col min="1" max="1" width="9" customWidth="1"/>
    <col min="2" max="2" width="3.375" customWidth="1"/>
    <col min="3" max="3" width="3" customWidth="1"/>
    <col min="4" max="4" width="8.625" customWidth="1"/>
    <col min="5" max="5" width="17.625" customWidth="1"/>
    <col min="6" max="8" width="6.625" customWidth="1"/>
    <col min="9" max="9" width="8.625" customWidth="1"/>
    <col min="10" max="10" width="17.625" customWidth="1"/>
    <col min="11" max="11" width="9" customWidth="1"/>
    <col min="12" max="12" width="22.375" customWidth="1"/>
    <col min="13" max="26" width="8.625" customWidth="1"/>
  </cols>
  <sheetData>
    <row r="1" spans="1:26" ht="14.25" customHeight="1" x14ac:dyDescent="0.45">
      <c r="A1" s="46"/>
      <c r="B1" s="208" t="s">
        <v>128</v>
      </c>
      <c r="C1" s="165"/>
      <c r="D1" s="165"/>
      <c r="E1" s="165"/>
      <c r="F1" s="165"/>
      <c r="G1" s="165"/>
      <c r="H1" s="165"/>
      <c r="I1" s="77" t="s">
        <v>129</v>
      </c>
      <c r="J1" s="5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4.25" customHeight="1" x14ac:dyDescent="0.2">
      <c r="A2" s="46"/>
      <c r="B2" s="171" t="s">
        <v>130</v>
      </c>
      <c r="C2" s="165"/>
      <c r="D2" s="165"/>
      <c r="E2" s="165"/>
      <c r="F2" s="6"/>
      <c r="G2" s="6"/>
      <c r="H2" s="6"/>
      <c r="I2" s="7"/>
      <c r="J2" s="7"/>
      <c r="K2" s="46"/>
      <c r="L2" s="8" t="s">
        <v>3</v>
      </c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4.25" customHeight="1" x14ac:dyDescent="0.2">
      <c r="A3" s="46"/>
      <c r="B3" s="165"/>
      <c r="C3" s="165"/>
      <c r="D3" s="165"/>
      <c r="E3" s="165"/>
      <c r="F3" s="6"/>
      <c r="G3" s="6"/>
      <c r="H3" s="46"/>
      <c r="I3" s="46"/>
      <c r="J3" s="46"/>
      <c r="K3" s="46"/>
      <c r="L3" s="9" t="s">
        <v>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4.25" customHeight="1" x14ac:dyDescent="0.2">
      <c r="A4" s="46"/>
      <c r="B4" s="6" t="s">
        <v>131</v>
      </c>
      <c r="C4" s="46"/>
      <c r="D4" s="6"/>
      <c r="E4" s="6"/>
      <c r="F4" s="6"/>
      <c r="G4" s="6"/>
      <c r="H4" s="186" t="s">
        <v>132</v>
      </c>
      <c r="I4" s="169"/>
      <c r="J4" s="10" t="s">
        <v>8</v>
      </c>
      <c r="K4" s="46"/>
      <c r="L4" s="78" t="s">
        <v>10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4.25" customHeight="1" x14ac:dyDescent="0.2">
      <c r="A5" s="46"/>
      <c r="B5" s="6" t="s">
        <v>133</v>
      </c>
      <c r="C5" s="46"/>
      <c r="D5" s="6"/>
      <c r="E5" s="6"/>
      <c r="F5" s="6"/>
      <c r="G5" s="6"/>
      <c r="H5" s="205">
        <v>3168</v>
      </c>
      <c r="I5" s="169"/>
      <c r="J5" s="11">
        <v>45859</v>
      </c>
      <c r="K5" s="46"/>
      <c r="L5" s="78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4.25" customHeight="1" x14ac:dyDescent="0.2">
      <c r="A6" s="46"/>
      <c r="B6" s="46"/>
      <c r="C6" s="6"/>
      <c r="D6" s="6"/>
      <c r="E6" s="6"/>
      <c r="F6" s="6"/>
      <c r="G6" s="6"/>
      <c r="H6" s="186" t="s">
        <v>134</v>
      </c>
      <c r="I6" s="169"/>
      <c r="J6" s="10" t="s">
        <v>135</v>
      </c>
      <c r="K6" s="46"/>
      <c r="L6" s="8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8" customHeight="1" x14ac:dyDescent="0.2">
      <c r="A7" s="46"/>
      <c r="B7" s="46"/>
      <c r="C7" s="6"/>
      <c r="D7" s="6"/>
      <c r="E7" s="6"/>
      <c r="F7" s="6"/>
      <c r="G7" s="6"/>
      <c r="H7" s="205"/>
      <c r="I7" s="169"/>
      <c r="J7" s="11">
        <f>J5+15</f>
        <v>45874</v>
      </c>
      <c r="K7" s="46"/>
      <c r="L7" s="8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9.5" customHeight="1" x14ac:dyDescent="0.2">
      <c r="A8" s="46"/>
      <c r="B8" s="172" t="s">
        <v>12</v>
      </c>
      <c r="C8" s="173"/>
      <c r="D8" s="173"/>
      <c r="E8" s="174"/>
      <c r="F8" s="6"/>
      <c r="G8" s="46"/>
      <c r="H8" s="46"/>
      <c r="I8" s="17"/>
      <c r="J8" s="18"/>
      <c r="K8" s="46"/>
      <c r="L8" s="79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25" customHeight="1" x14ac:dyDescent="0.2">
      <c r="A9" s="46"/>
      <c r="B9" s="80" t="s">
        <v>136</v>
      </c>
      <c r="C9" s="46"/>
      <c r="D9" s="6"/>
      <c r="E9" s="6"/>
      <c r="F9" s="6"/>
      <c r="G9" s="46"/>
      <c r="H9" s="46"/>
      <c r="I9" s="17"/>
      <c r="J9" s="18"/>
      <c r="K9" s="46"/>
      <c r="L9" s="79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25" customHeight="1" x14ac:dyDescent="0.2">
      <c r="A10" s="46"/>
      <c r="B10" s="171" t="s">
        <v>137</v>
      </c>
      <c r="C10" s="165"/>
      <c r="D10" s="165"/>
      <c r="E10" s="6"/>
      <c r="F10" s="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25" customHeight="1" x14ac:dyDescent="0.2">
      <c r="A11" s="46"/>
      <c r="B11" s="165"/>
      <c r="C11" s="165"/>
      <c r="D11" s="165"/>
      <c r="E11" s="6"/>
      <c r="F11" s="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25" customHeight="1" x14ac:dyDescent="0.2">
      <c r="A12" s="46"/>
      <c r="B12" s="165"/>
      <c r="C12" s="165"/>
      <c r="D12" s="165"/>
      <c r="E12" s="6"/>
      <c r="F12" s="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25" customHeight="1" x14ac:dyDescent="0.2">
      <c r="A13" s="46"/>
      <c r="B13" s="6" t="s">
        <v>138</v>
      </c>
      <c r="C13" s="46"/>
      <c r="D13" s="6"/>
      <c r="E13" s="6"/>
      <c r="F13" s="6"/>
      <c r="G13" s="6"/>
      <c r="H13" s="6"/>
      <c r="I13" s="6"/>
      <c r="J13" s="6"/>
      <c r="K13" s="46"/>
      <c r="L13" s="79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9.5" customHeight="1" x14ac:dyDescent="0.2">
      <c r="A14" s="46"/>
      <c r="B14" s="10" t="s">
        <v>16</v>
      </c>
      <c r="C14" s="177" t="s">
        <v>17</v>
      </c>
      <c r="D14" s="178"/>
      <c r="E14" s="178"/>
      <c r="F14" s="178"/>
      <c r="G14" s="179"/>
      <c r="H14" s="10" t="s">
        <v>18</v>
      </c>
      <c r="I14" s="10" t="s">
        <v>19</v>
      </c>
      <c r="J14" s="10" t="s">
        <v>20</v>
      </c>
      <c r="K14" s="46"/>
      <c r="L14" s="79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56.25" customHeight="1" x14ac:dyDescent="0.2">
      <c r="A15" s="46"/>
      <c r="B15" s="81"/>
      <c r="C15" s="207" t="s">
        <v>139</v>
      </c>
      <c r="D15" s="165"/>
      <c r="E15" s="165"/>
      <c r="F15" s="165"/>
      <c r="G15" s="189"/>
      <c r="H15" s="26"/>
      <c r="I15" s="24"/>
      <c r="J15" s="24"/>
      <c r="K15" s="27"/>
      <c r="L15" s="78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3.5" customHeight="1" x14ac:dyDescent="0.2">
      <c r="A16" s="46"/>
      <c r="B16" s="81"/>
      <c r="C16" s="82"/>
      <c r="D16" s="82"/>
      <c r="E16" s="82"/>
      <c r="F16" s="82"/>
      <c r="G16" s="83"/>
      <c r="H16" s="26"/>
      <c r="I16" s="24"/>
      <c r="J16" s="24"/>
      <c r="K16" s="27"/>
      <c r="L16" s="78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5" customHeight="1" x14ac:dyDescent="0.2">
      <c r="A17" s="46"/>
      <c r="B17" s="84">
        <v>1</v>
      </c>
      <c r="C17" s="171" t="s">
        <v>125</v>
      </c>
      <c r="D17" s="165"/>
      <c r="E17" s="165"/>
      <c r="F17" s="165"/>
      <c r="G17" s="189"/>
      <c r="H17" s="32">
        <v>2</v>
      </c>
      <c r="I17" s="68">
        <v>2199</v>
      </c>
      <c r="J17" s="68">
        <v>4398</v>
      </c>
      <c r="K17" s="27"/>
      <c r="L17" s="78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5" customHeight="1" x14ac:dyDescent="0.2">
      <c r="A18" s="46"/>
      <c r="B18" s="84">
        <v>2</v>
      </c>
      <c r="C18" s="171" t="s">
        <v>126</v>
      </c>
      <c r="D18" s="165"/>
      <c r="E18" s="165"/>
      <c r="F18" s="165"/>
      <c r="G18" s="189"/>
      <c r="H18" s="32">
        <v>2</v>
      </c>
      <c r="I18" s="68">
        <v>99</v>
      </c>
      <c r="J18" s="68">
        <v>198</v>
      </c>
      <c r="K18" s="27"/>
      <c r="L18" s="78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5" customHeight="1" x14ac:dyDescent="0.2">
      <c r="A19" s="46"/>
      <c r="B19" s="84">
        <v>3</v>
      </c>
      <c r="C19" s="164" t="s">
        <v>127</v>
      </c>
      <c r="D19" s="165"/>
      <c r="E19" s="165"/>
      <c r="F19" s="165"/>
      <c r="G19" s="189"/>
      <c r="H19" s="32" t="s">
        <v>140</v>
      </c>
      <c r="I19" s="68">
        <v>150</v>
      </c>
      <c r="J19" s="68">
        <v>150</v>
      </c>
      <c r="K19" s="27"/>
      <c r="L19" s="78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5" customHeight="1" x14ac:dyDescent="0.2">
      <c r="A20" s="46"/>
      <c r="B20" s="84">
        <v>4</v>
      </c>
      <c r="C20" s="164" t="s">
        <v>58</v>
      </c>
      <c r="D20" s="165"/>
      <c r="E20" s="165"/>
      <c r="F20" s="165"/>
      <c r="G20" s="189"/>
      <c r="H20" s="32" t="s">
        <v>140</v>
      </c>
      <c r="I20" s="68">
        <v>300</v>
      </c>
      <c r="J20" s="68">
        <v>300</v>
      </c>
      <c r="K20" s="27"/>
      <c r="L20" s="78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" customHeight="1" x14ac:dyDescent="0.2">
      <c r="A21" s="46"/>
      <c r="B21" s="84">
        <v>5</v>
      </c>
      <c r="C21" s="171" t="s">
        <v>59</v>
      </c>
      <c r="D21" s="165"/>
      <c r="E21" s="165"/>
      <c r="F21" s="165"/>
      <c r="G21" s="189"/>
      <c r="H21" s="32" t="s">
        <v>140</v>
      </c>
      <c r="I21" s="68">
        <v>100</v>
      </c>
      <c r="J21" s="68">
        <v>100</v>
      </c>
      <c r="K21" s="27"/>
      <c r="L21" s="78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26.25" customHeight="1" x14ac:dyDescent="0.2">
      <c r="A22" s="54"/>
      <c r="B22" s="85"/>
      <c r="C22" s="167" t="s">
        <v>61</v>
      </c>
      <c r="D22" s="168"/>
      <c r="E22" s="168"/>
      <c r="F22" s="168"/>
      <c r="G22" s="169"/>
      <c r="H22" s="206" t="s">
        <v>66</v>
      </c>
      <c r="I22" s="163"/>
      <c r="J22" s="86">
        <f>SUM(J15:J21)</f>
        <v>5146</v>
      </c>
      <c r="K22" s="87"/>
      <c r="L22" s="78" t="s">
        <v>63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26.25" customHeight="1" x14ac:dyDescent="0.2">
      <c r="A23" s="54"/>
      <c r="B23" s="54"/>
      <c r="C23" s="88"/>
      <c r="D23" s="88"/>
      <c r="E23" s="88"/>
      <c r="F23" s="88"/>
      <c r="G23" s="88"/>
      <c r="H23" s="89"/>
      <c r="I23" s="89"/>
      <c r="J23" s="90"/>
      <c r="K23" s="87"/>
      <c r="L23" s="78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4.25" customHeight="1" x14ac:dyDescent="0.25">
      <c r="A24" s="46"/>
      <c r="B24" s="91" t="s">
        <v>141</v>
      </c>
      <c r="C24" s="92"/>
      <c r="D24" s="46"/>
      <c r="E24" s="46"/>
      <c r="F24" s="46"/>
      <c r="G24" s="46"/>
      <c r="H24" s="46"/>
      <c r="I24" s="46"/>
      <c r="J24" s="46"/>
      <c r="K24" s="46"/>
      <c r="L24" s="78" t="s">
        <v>68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4.25" customHeight="1" x14ac:dyDescent="0.25">
      <c r="A25" s="46"/>
      <c r="B25" s="93" t="s">
        <v>142</v>
      </c>
      <c r="C25" s="94"/>
      <c r="D25" s="46"/>
      <c r="E25" s="46"/>
      <c r="F25" s="46"/>
      <c r="G25" s="46"/>
      <c r="H25" s="46"/>
      <c r="I25" s="46"/>
      <c r="J25" s="46"/>
      <c r="K25" s="46"/>
      <c r="L25" s="78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4.25" customHeight="1" x14ac:dyDescent="0.25">
      <c r="A26" s="46"/>
      <c r="B26" s="93" t="s">
        <v>143</v>
      </c>
      <c r="C26" s="94"/>
      <c r="D26" s="46"/>
      <c r="E26" s="46"/>
      <c r="F26" s="46"/>
      <c r="G26" s="46"/>
      <c r="H26" s="46"/>
      <c r="I26" s="46"/>
      <c r="J26" s="46"/>
      <c r="K26" s="46"/>
      <c r="L26" s="78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4.25" customHeight="1" x14ac:dyDescent="0.25">
      <c r="A27" s="46"/>
      <c r="B27" s="93" t="s">
        <v>144</v>
      </c>
      <c r="C27" s="94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3.5" customHeight="1" x14ac:dyDescent="0.25">
      <c r="A28" s="46"/>
      <c r="B28" s="93" t="s">
        <v>145</v>
      </c>
      <c r="C28" s="94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31.5" hidden="1" customHeight="1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4.25" customHeight="1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78" t="s">
        <v>71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4.25" customHeight="1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" customHeight="1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4.25" customHeight="1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4.25" customHeight="1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4.25" customHeight="1" x14ac:dyDescent="0.2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4.25" customHeight="1" x14ac:dyDescent="0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4.25" customHeight="1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4.25" customHeight="1" x14ac:dyDescent="0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4.25" customHeight="1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4.25" customHeight="1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4.25" customHeight="1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4.25" customHeight="1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4.25" customHeight="1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4.25" customHeight="1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4.25" customHeight="1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4.25" customHeight="1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4.25" customHeight="1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4.25" customHeight="1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4.25" customHeight="1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4.25" customHeight="1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4.25" customHeight="1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4.25" customHeight="1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4.25" customHeight="1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4.2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4.2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4.25" customHeight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4.25" customHeight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4.25" customHeight="1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4.2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4.2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4.2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4.2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4.2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4.2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4.2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4.2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4.2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4.2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4.2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4.2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4.2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4.2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4.2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4.2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4.2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4.2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4.2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4.2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4.2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4.2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4.2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4.2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4.2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4.2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4.2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4.2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4.2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4.2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4.2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4.2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4.2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4.2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4.2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4.2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4.2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4.2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4.2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4.2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4.2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4.2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4.2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4.2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4.2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4.2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4.2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4.2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4.2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4.2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4.2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4.2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4.2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4.2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4.2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4.2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4.2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4.2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4.2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4.2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4.2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4.2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4.2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4.2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4.2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4.2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4.2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4.2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4.2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4.2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4.2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4.2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4.2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4.2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4.2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4.2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4.2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4.2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4.2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4.2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4.2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4.2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4.2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4.2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4.2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4.2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4.2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4.2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4.2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4.2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4.2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4.2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4.2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4.2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4.2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4.2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4.2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4.2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4.2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4.2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4.2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4.2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4.2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4.2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4.2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4.2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4.2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4.2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4.2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4.2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4.2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4.2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4.2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4.2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4.2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4.2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4.2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4.2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4.2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4.2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4.2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4.2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4.2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4.2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4.2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4.2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4.2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4.2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4.2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4.2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4.2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4.2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4.2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4.2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4.2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4.2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4.2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4.2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4.2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4.2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4.2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4.2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4.2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4.2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4.2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4.2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4.2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4.2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4.2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4.2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4.2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4.2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4.2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4.2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4.2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4.2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4.2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4.2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4.2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4.2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4.2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4.2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4.2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4.2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4.2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4.2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4.2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4.2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4.2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4.2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4.2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4.2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4.2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4.2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4.2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4.2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4.2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4.2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4.2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4.2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4.2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4.2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4.2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4.2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4.2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4.2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4.2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4.2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4.2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4.2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4.2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4.2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4.2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4.2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4.2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4.2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4.2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4.2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4.2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4.2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4.2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4.2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4.2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4.2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4.2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4.2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4.2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4.2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4.2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4.2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4.2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4.2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4.2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4.2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4.2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4.2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4.2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4.2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4.2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4.2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4.2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4.2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4.2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4.2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4.2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4.2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4.2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4.2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4.2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4.2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4.2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4.2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4.2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4.2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4.2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4.2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4.2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4.2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4.2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4.2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4.2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4.2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4.2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4.2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4.2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4.2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4.2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4.2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4.2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4.2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4.2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4.2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4.2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4.2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4.2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4.2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4.2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4.2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4.2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4.2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4.2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4.2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4.2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4.2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4.2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4.2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4.2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4.2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4.2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4.2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4.2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4.2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4.2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4.2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4.2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4.2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4.2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4.2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4.2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4.2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4.2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4.2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4.2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4.2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4.2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4.2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4.2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4.2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4.2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4.2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4.2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4.2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4.2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4.2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4.2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4.2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4.2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4.2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4.2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4.2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4.2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4.2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4.2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4.2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4.2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4.2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4.2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4.2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4.2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4.2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4.2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4.2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4.2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4.2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4.2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4.2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4.2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4.2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4.2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4.2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4.2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4.2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4.2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4.2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4.2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4.2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4.2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4.2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4.2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4.2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4.2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4.2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4.2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4.2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4.2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4.2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4.2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4.2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4.2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4.2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4.2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4.2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4.2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4.2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4.2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4.2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4.2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4.2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4.2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4.2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4.2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4.2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4.2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4.2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4.2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4.2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4.2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4.2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4.2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4.2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4.2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4.2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4.2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4.2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4.2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4.2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4.2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4.2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4.2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4.2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4.2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4.2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4.2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4.2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4.2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4.2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4.2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4.2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4.2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4.2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4.2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4.2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4.2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4.2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4.2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4.2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4.2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4.2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4.2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4.2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4.2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4.2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4.2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4.2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4.2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4.2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4.2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4.2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4.2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4.2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4.2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4.2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4.2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4.2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4.2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4.2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4.2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4.2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4.2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4.2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4.2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4.2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4.2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4.2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4.2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4.2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4.2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4.2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4.2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4.2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4.2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4.2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4.2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4.2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4.2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4.2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4.2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4.2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4.2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4.2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4.2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4.2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4.2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4.2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4.2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4.2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4.2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4.2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4.2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4.2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4.2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4.2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4.2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4.2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4.2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4.2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4.2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4.2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4.2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4.2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4.2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4.2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4.2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4.2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4.2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4.2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4.2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4.2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4.2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4.2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4.2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4.2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4.2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4.2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4.2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4.2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4.2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4.2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4.2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4.2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4.2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4.2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4.2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4.2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4.2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4.2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4.2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4.2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4.2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4.2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4.2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4.2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4.2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4.2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4.2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4.2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4.2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4.2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4.2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4.2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4.2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4.2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4.2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4.2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4.2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4.2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4.2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4.2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4.2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4.2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4.2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4.2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4.2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4.2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4.2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4.2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4.2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4.2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4.2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4.2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4.2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4.2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4.2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4.2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4.2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4.2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4.2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4.2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4.2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4.2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4.2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4.2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4.2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4.2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4.2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4.2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4.2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4.2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4.2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4.2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4.2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4.2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4.2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4.2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4.2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4.2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4.2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4.2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4.2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4.2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4.2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4.2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4.2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4.2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4.2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4.2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4.2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4.2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4.2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4.2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4.2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4.2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4.2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4.2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4.2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4.2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4.2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4.2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4.2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4.2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4.2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4.2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4.2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4.2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4.2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4.2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4.2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4.2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4.2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4.2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4.2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4.2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4.2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4.2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4.2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4.2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4.2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4.2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4.2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4.2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4.2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4.2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4.2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4.2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4.2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4.2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4.2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4.2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4.2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4.2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4.2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4.2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4.2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4.2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4.2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4.2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4.2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4.2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4.2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4.2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4.2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4.2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4.2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4.2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4.2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4.2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4.2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4.2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4.2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4.2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4.2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4.2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4.2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4.2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4.2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4.2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4.2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4.2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4.2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4.2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4.2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4.2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4.2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4.2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4.2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4.2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4.2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4.2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4.2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4.2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4.2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4.2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4.2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4.2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4.2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4.2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4.2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4.2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4.2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4.2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4.2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4.2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4.2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4.2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4.2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4.2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4.2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4.2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4.2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4.2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4.2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4.2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4.2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4.2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4.2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4.2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4.2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4.2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4.2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4.2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4.2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4.2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4.2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4.2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4.2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4.2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4.2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4.2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4.2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4.2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4.2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4.2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4.2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4.2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4.2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4.2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4.2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4.2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4.2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4.2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4.2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4.2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4.2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4.2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4.2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4.2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4.2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4.2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4.2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4.2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4.2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4.2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4.2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4.2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4.2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4.2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4.2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4.2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4.2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4.2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4.2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4.2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4.2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4.2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4.2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4.2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4.2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4.2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4.2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4.2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4.2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4.2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4.2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4.2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4.2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4.2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4.2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4.2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4.2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4.2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4.2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4.2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4.2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4.2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4.2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4.2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4.2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4.2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4.2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4.2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4.2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4.2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4.2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4.2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4.2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4.2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4.2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4.2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4.2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4.2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4.2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4.2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4.2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4.2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4.2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4.2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4.2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4.2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4.2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4.2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4.2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4.2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4.2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4.2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4.2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4.2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4.2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4.2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4.2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4.2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4.2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4.2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4.2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4.2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4.2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4.2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4.2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4.2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4.2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4.2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4.2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4.2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4.2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4.2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4.2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4.2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4.2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4.2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4.2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4.2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4.2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4.2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4.2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4.2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4.2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4.2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4.2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4.2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4.2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4.2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4.2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4.2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4.2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4.2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4.2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4.2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4.2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4.2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4.2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4.2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4.2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4.2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4.2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4.2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4.2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4.2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4.2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4.2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4.2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4.2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4.2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4.2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4.2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4.2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4.2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4.2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4.2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4.2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4.2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4.2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4.2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4.2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4.2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4.2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4.2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4.2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4.2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4.2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4.2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4.2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4.2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4.2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4.2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4.2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4.2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4.2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4.2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4.2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4.2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4.2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4.2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4.2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4.2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4.2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4.2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4.2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4.2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4.2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4.2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4.2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4.2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4.2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4.2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4.2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4.2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4.2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4.2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4.2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4.2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4.2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4.2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4.2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4.2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4.2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4.2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4.2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4.2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4.2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4.2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4.2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4.2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4.2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4.2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4.2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4.2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4.2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4.2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4.2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4.2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4.2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4.2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4.2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4.2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4.2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4.2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4.2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4.2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4.2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4.2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4.2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4.2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4.2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4.2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4.2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4.2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4.2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4.2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4.2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4.2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4.2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4.2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4.2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4.2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4.2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4.2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4.2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4.2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4.2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4.2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4.2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4.2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4.2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4.2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4.2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4.2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4.2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4.2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4.2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4.2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4.2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4.2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4.2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4.2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4.2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4.2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4.2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4.2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4.2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4.2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4.2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4.2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4.2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4.2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4.2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4.2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4.2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4.2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4.2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4.2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4.2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4.2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4.2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7">
    <mergeCell ref="B1:H1"/>
    <mergeCell ref="B2:E3"/>
    <mergeCell ref="H4:I4"/>
    <mergeCell ref="H5:I5"/>
    <mergeCell ref="H6:I6"/>
    <mergeCell ref="H7:I7"/>
    <mergeCell ref="B8:E8"/>
    <mergeCell ref="C21:G21"/>
    <mergeCell ref="C22:G22"/>
    <mergeCell ref="H22:I22"/>
    <mergeCell ref="B10:D12"/>
    <mergeCell ref="C14:G14"/>
    <mergeCell ref="C15:G15"/>
    <mergeCell ref="C17:G17"/>
    <mergeCell ref="C18:G18"/>
    <mergeCell ref="C19:G19"/>
    <mergeCell ref="C20:G20"/>
  </mergeCells>
  <hyperlinks>
    <hyperlink ref="L3" r:id="rId1" xr:uid="{00000000-0004-0000-0600-000000000000}"/>
  </hyperlinks>
  <printOptions horizontalCentered="1"/>
  <pageMargins left="0.5" right="0.5" top="0.5" bottom="0.5" header="0" footer="0"/>
  <pageSetup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954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31.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7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4187</v>
      </c>
      <c r="H5" s="182"/>
      <c r="I5" s="11">
        <v>45859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121</v>
      </c>
      <c r="I8" s="18"/>
      <c r="K8" s="19"/>
    </row>
    <row r="9" spans="1:11" ht="14.25" customHeight="1" x14ac:dyDescent="0.2">
      <c r="A9" s="175" t="s">
        <v>146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20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147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124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26" ht="14.25" customHeight="1" x14ac:dyDescent="0.2">
      <c r="A17" s="22"/>
      <c r="B17" s="30"/>
      <c r="C17" s="30"/>
      <c r="D17" s="30"/>
      <c r="E17" s="30"/>
      <c r="F17" s="31"/>
      <c r="G17" s="26"/>
      <c r="H17" s="24"/>
      <c r="I17" s="24"/>
      <c r="J17" s="27"/>
      <c r="K17" s="19"/>
    </row>
    <row r="18" spans="1:26" ht="14.25" x14ac:dyDescent="0.2">
      <c r="A18" s="22">
        <v>1</v>
      </c>
      <c r="B18" s="171" t="s">
        <v>125</v>
      </c>
      <c r="C18" s="165"/>
      <c r="D18" s="165"/>
      <c r="E18" s="165"/>
      <c r="F18" s="189"/>
      <c r="G18" s="32">
        <v>2</v>
      </c>
      <c r="H18" s="33">
        <v>1999</v>
      </c>
      <c r="I18" s="33">
        <v>3998</v>
      </c>
      <c r="J18" s="27">
        <v>3160</v>
      </c>
      <c r="K18" s="19"/>
    </row>
    <row r="19" spans="1:26" ht="14.25" x14ac:dyDescent="0.2">
      <c r="A19" s="22">
        <v>2</v>
      </c>
      <c r="B19" s="171" t="s">
        <v>126</v>
      </c>
      <c r="C19" s="165"/>
      <c r="D19" s="165"/>
      <c r="E19" s="165"/>
      <c r="F19" s="189"/>
      <c r="G19" s="32">
        <v>2</v>
      </c>
      <c r="H19" s="33">
        <v>70</v>
      </c>
      <c r="I19" s="33">
        <v>140</v>
      </c>
      <c r="J19" s="27">
        <v>90</v>
      </c>
      <c r="K19" s="19"/>
    </row>
    <row r="20" spans="1:26" ht="14.25" x14ac:dyDescent="0.2">
      <c r="A20" s="22">
        <v>3</v>
      </c>
      <c r="B20" s="164" t="s">
        <v>127</v>
      </c>
      <c r="C20" s="165"/>
      <c r="D20" s="165"/>
      <c r="E20" s="165"/>
      <c r="F20" s="189"/>
      <c r="G20" s="26">
        <v>1</v>
      </c>
      <c r="H20" s="24">
        <v>100</v>
      </c>
      <c r="I20" s="24">
        <v>100</v>
      </c>
      <c r="J20" s="27">
        <v>10</v>
      </c>
      <c r="K20" s="19"/>
      <c r="L20" s="38" t="s">
        <v>54</v>
      </c>
      <c r="M20" s="39" t="s">
        <v>55</v>
      </c>
      <c r="N20" s="40" t="s">
        <v>56</v>
      </c>
    </row>
    <row r="21" spans="1:26" ht="14.25" x14ac:dyDescent="0.2">
      <c r="A21" s="22">
        <v>4</v>
      </c>
      <c r="B21" s="164" t="s">
        <v>58</v>
      </c>
      <c r="C21" s="165"/>
      <c r="D21" s="165"/>
      <c r="E21" s="165"/>
      <c r="F21" s="189"/>
      <c r="G21" s="26">
        <v>1</v>
      </c>
      <c r="H21" s="24">
        <v>200</v>
      </c>
      <c r="I21" s="24">
        <v>200</v>
      </c>
      <c r="J21" s="27">
        <v>30</v>
      </c>
      <c r="K21" s="19"/>
      <c r="L21" s="41">
        <f>I26</f>
        <v>4438</v>
      </c>
      <c r="M21" s="42">
        <f>SUM(J16:J22)</f>
        <v>3290</v>
      </c>
      <c r="N21" s="43">
        <f>L21-M21</f>
        <v>1148</v>
      </c>
    </row>
    <row r="22" spans="1:26" ht="14.25" customHeight="1" x14ac:dyDescent="0.2">
      <c r="A22" s="22"/>
      <c r="B22" s="25"/>
      <c r="C22" s="35"/>
      <c r="D22" s="35"/>
      <c r="E22" s="35"/>
      <c r="F22" s="45"/>
      <c r="G22" s="26"/>
      <c r="H22" s="33"/>
      <c r="I22" s="44"/>
      <c r="J22" s="27"/>
      <c r="K22" s="19"/>
    </row>
    <row r="23" spans="1:26" ht="25.5" customHeight="1" x14ac:dyDescent="0.2">
      <c r="A23" s="47"/>
      <c r="B23" s="20"/>
      <c r="C23" s="20"/>
      <c r="D23" s="20"/>
      <c r="E23" s="20"/>
      <c r="F23" s="48"/>
      <c r="G23" s="49"/>
      <c r="H23" s="50"/>
      <c r="I23" s="51"/>
      <c r="J23" s="27"/>
      <c r="K23" s="19"/>
    </row>
    <row r="24" spans="1:26" ht="27.75" customHeight="1" x14ac:dyDescent="0.2">
      <c r="A24" s="52"/>
      <c r="B24" s="167" t="s">
        <v>61</v>
      </c>
      <c r="C24" s="168"/>
      <c r="D24" s="168"/>
      <c r="E24" s="168"/>
      <c r="F24" s="169"/>
      <c r="G24" s="170" t="s">
        <v>62</v>
      </c>
      <c r="H24" s="168"/>
      <c r="I24" s="53">
        <f>SUM(I15:I22)</f>
        <v>4438</v>
      </c>
      <c r="J24" s="54"/>
      <c r="K24" s="12" t="s">
        <v>63</v>
      </c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24" hidden="1" customHeight="1" x14ac:dyDescent="0.2">
      <c r="A25" s="14"/>
      <c r="B25" s="7"/>
      <c r="C25" s="7"/>
      <c r="D25" s="7"/>
      <c r="E25" s="7"/>
      <c r="F25" s="7"/>
      <c r="G25" s="170" t="s">
        <v>95</v>
      </c>
      <c r="H25" s="168"/>
      <c r="I25" s="60"/>
      <c r="K25" s="12" t="s">
        <v>65</v>
      </c>
    </row>
    <row r="26" spans="1:26" ht="24" customHeight="1" x14ac:dyDescent="0.2">
      <c r="A26" s="14"/>
      <c r="B26" s="7"/>
      <c r="C26" s="7"/>
      <c r="D26" s="7"/>
      <c r="E26" s="7"/>
      <c r="F26" s="7"/>
      <c r="G26" s="162" t="s">
        <v>66</v>
      </c>
      <c r="H26" s="163"/>
      <c r="I26" s="55">
        <f>I24+I25</f>
        <v>4438</v>
      </c>
    </row>
    <row r="27" spans="1:26" ht="24" customHeight="1" x14ac:dyDescent="0.2">
      <c r="A27" s="14"/>
      <c r="B27" s="7"/>
      <c r="C27" s="7"/>
      <c r="D27" s="7"/>
      <c r="E27" s="7"/>
      <c r="F27" s="7"/>
      <c r="G27" s="56"/>
      <c r="H27" s="56"/>
      <c r="I27" s="57"/>
    </row>
    <row r="28" spans="1:26" ht="14.25" customHeight="1" x14ac:dyDescent="0.2">
      <c r="A28" s="14"/>
      <c r="B28" s="171" t="s">
        <v>67</v>
      </c>
      <c r="C28" s="165"/>
      <c r="D28" s="165"/>
      <c r="E28" s="165"/>
      <c r="F28" s="165"/>
      <c r="G28" s="165"/>
      <c r="H28" s="165"/>
      <c r="I28" s="165"/>
      <c r="K28" s="12" t="s">
        <v>68</v>
      </c>
    </row>
    <row r="29" spans="1:26" ht="14.25" customHeight="1" x14ac:dyDescent="0.2">
      <c r="A29" s="14"/>
      <c r="B29" s="165"/>
      <c r="C29" s="165"/>
      <c r="D29" s="165"/>
      <c r="E29" s="165"/>
      <c r="F29" s="165"/>
      <c r="G29" s="165"/>
      <c r="H29" s="165"/>
      <c r="I29" s="165"/>
      <c r="K29" s="12"/>
    </row>
    <row r="30" spans="1:26" ht="14.25" customHeight="1" x14ac:dyDescent="0.2">
      <c r="A30" s="14"/>
      <c r="B30" s="46" t="s">
        <v>69</v>
      </c>
    </row>
    <row r="31" spans="1:26" ht="14.25" customHeight="1" x14ac:dyDescent="0.2">
      <c r="A31" s="14"/>
      <c r="B31" s="20"/>
      <c r="C31" s="20"/>
      <c r="D31" s="20"/>
      <c r="E31" s="20"/>
      <c r="F31" s="20"/>
      <c r="G31" s="20"/>
      <c r="H31" s="20"/>
      <c r="I31" s="20"/>
    </row>
    <row r="32" spans="1:26" ht="14.25" customHeight="1" x14ac:dyDescent="0.2">
      <c r="A32" s="14"/>
      <c r="B32" s="58"/>
    </row>
    <row r="33" spans="1:11" ht="116.25" customHeight="1" x14ac:dyDescent="0.2">
      <c r="A33" s="14"/>
      <c r="B33" s="7"/>
      <c r="C33" s="7"/>
      <c r="D33" s="7"/>
      <c r="E33" s="7"/>
      <c r="F33" s="7"/>
      <c r="G33" s="164" t="s">
        <v>70</v>
      </c>
      <c r="H33" s="165"/>
      <c r="I33" s="165"/>
    </row>
    <row r="34" spans="1:11" ht="14.25" customHeight="1" x14ac:dyDescent="0.2">
      <c r="A34" s="14"/>
      <c r="B34" s="7"/>
      <c r="C34" s="7"/>
      <c r="D34" s="7"/>
      <c r="E34" s="7"/>
      <c r="F34" s="7"/>
      <c r="G34" s="165"/>
      <c r="H34" s="165"/>
      <c r="I34" s="165"/>
      <c r="K34" s="12" t="s">
        <v>71</v>
      </c>
    </row>
    <row r="35" spans="1:11" ht="14.25" customHeight="1" x14ac:dyDescent="0.2">
      <c r="A35" s="14"/>
      <c r="B35" s="59"/>
      <c r="C35" s="59"/>
      <c r="D35" s="59"/>
      <c r="E35" s="59"/>
      <c r="F35" s="59"/>
      <c r="G35" s="59"/>
      <c r="H35" s="59"/>
      <c r="I35" s="59"/>
      <c r="K35" s="12"/>
    </row>
    <row r="36" spans="1:11" ht="14.25" customHeight="1" x14ac:dyDescent="0.2">
      <c r="A36" s="14"/>
    </row>
    <row r="37" spans="1:11" ht="14.25" customHeight="1" x14ac:dyDescent="0.2">
      <c r="A37" s="14"/>
    </row>
    <row r="38" spans="1:11" ht="14.25" customHeight="1" x14ac:dyDescent="0.2">
      <c r="A38" s="14"/>
    </row>
    <row r="39" spans="1:11" ht="14.25" customHeight="1" x14ac:dyDescent="0.2">
      <c r="A39" s="14"/>
    </row>
    <row r="40" spans="1:11" ht="14.25" customHeight="1" x14ac:dyDescent="0.2">
      <c r="A40" s="14"/>
    </row>
    <row r="41" spans="1:11" ht="14.25" customHeight="1" x14ac:dyDescent="0.2">
      <c r="A41" s="14"/>
    </row>
    <row r="42" spans="1:11" ht="14.25" customHeight="1" x14ac:dyDescent="0.2">
      <c r="A42" s="14"/>
    </row>
    <row r="43" spans="1:11" ht="14.25" customHeight="1" x14ac:dyDescent="0.2">
      <c r="A43" s="14"/>
    </row>
    <row r="44" spans="1:11" ht="14.25" customHeight="1" x14ac:dyDescent="0.2">
      <c r="A44" s="14"/>
    </row>
    <row r="45" spans="1:11" ht="14.25" customHeight="1" x14ac:dyDescent="0.2">
      <c r="A45" s="14"/>
    </row>
    <row r="46" spans="1:11" ht="14.25" customHeight="1" x14ac:dyDescent="0.2">
      <c r="A46" s="14"/>
    </row>
    <row r="47" spans="1:11" ht="14.25" customHeight="1" x14ac:dyDescent="0.2">
      <c r="A47" s="14"/>
    </row>
    <row r="48" spans="1:11" ht="14.25" customHeight="1" x14ac:dyDescent="0.2">
      <c r="A48" s="14"/>
    </row>
    <row r="49" spans="1:1" ht="14.25" customHeight="1" x14ac:dyDescent="0.2">
      <c r="A49" s="14"/>
    </row>
    <row r="50" spans="1:1" ht="14.25" customHeight="1" x14ac:dyDescent="0.2">
      <c r="A50" s="14"/>
    </row>
    <row r="51" spans="1:1" ht="14.25" customHeight="1" x14ac:dyDescent="0.2">
      <c r="A51" s="14"/>
    </row>
    <row r="52" spans="1:1" ht="14.25" customHeight="1" x14ac:dyDescent="0.2">
      <c r="A52" s="14"/>
    </row>
    <row r="53" spans="1:1" ht="14.25" customHeight="1" x14ac:dyDescent="0.2">
      <c r="A53" s="14"/>
    </row>
    <row r="54" spans="1:1" ht="14.25" customHeight="1" x14ac:dyDescent="0.2">
      <c r="A54" s="14"/>
    </row>
    <row r="55" spans="1:1" ht="14.25" customHeight="1" x14ac:dyDescent="0.2">
      <c r="A55" s="14"/>
    </row>
    <row r="56" spans="1:1" ht="14.25" customHeight="1" x14ac:dyDescent="0.2">
      <c r="A56" s="14"/>
    </row>
    <row r="57" spans="1:1" ht="14.25" customHeight="1" x14ac:dyDescent="0.2">
      <c r="A57" s="14"/>
    </row>
    <row r="58" spans="1:1" ht="14.25" customHeight="1" x14ac:dyDescent="0.2">
      <c r="A58" s="14"/>
    </row>
    <row r="59" spans="1:1" ht="14.25" customHeight="1" x14ac:dyDescent="0.2">
      <c r="A59" s="14"/>
    </row>
    <row r="60" spans="1:1" ht="14.25" customHeight="1" x14ac:dyDescent="0.2">
      <c r="A60" s="14"/>
    </row>
    <row r="61" spans="1:1" ht="14.25" customHeight="1" x14ac:dyDescent="0.2">
      <c r="A61" s="14"/>
    </row>
    <row r="62" spans="1:1" ht="14.25" customHeight="1" x14ac:dyDescent="0.2">
      <c r="A62" s="14"/>
    </row>
    <row r="63" spans="1:1" ht="14.25" customHeight="1" x14ac:dyDescent="0.2">
      <c r="A63" s="14"/>
    </row>
    <row r="64" spans="1:1" ht="14.25" customHeight="1" x14ac:dyDescent="0.2">
      <c r="A64" s="14"/>
    </row>
    <row r="65" spans="1:1" ht="14.25" customHeight="1" x14ac:dyDescent="0.2">
      <c r="A65" s="14"/>
    </row>
    <row r="66" spans="1:1" ht="14.25" customHeight="1" x14ac:dyDescent="0.2">
      <c r="A66" s="14"/>
    </row>
    <row r="67" spans="1:1" ht="14.25" customHeight="1" x14ac:dyDescent="0.2">
      <c r="A67" s="14"/>
    </row>
    <row r="68" spans="1:1" ht="14.25" customHeight="1" x14ac:dyDescent="0.2">
      <c r="A68" s="14"/>
    </row>
    <row r="69" spans="1:1" ht="14.25" customHeight="1" x14ac:dyDescent="0.2">
      <c r="A69" s="14"/>
    </row>
    <row r="70" spans="1:1" ht="14.25" customHeight="1" x14ac:dyDescent="0.2">
      <c r="A70" s="14"/>
    </row>
    <row r="71" spans="1:1" ht="14.25" customHeight="1" x14ac:dyDescent="0.2">
      <c r="A71" s="14"/>
    </row>
    <row r="72" spans="1:1" ht="14.25" customHeight="1" x14ac:dyDescent="0.2">
      <c r="A72" s="14"/>
    </row>
    <row r="73" spans="1:1" ht="14.25" customHeight="1" x14ac:dyDescent="0.2">
      <c r="A73" s="14"/>
    </row>
    <row r="74" spans="1:1" ht="14.25" customHeight="1" x14ac:dyDescent="0.2">
      <c r="A74" s="14"/>
    </row>
    <row r="75" spans="1:1" ht="14.25" customHeight="1" x14ac:dyDescent="0.2">
      <c r="A75" s="14"/>
    </row>
    <row r="76" spans="1:1" ht="14.25" customHeight="1" x14ac:dyDescent="0.2">
      <c r="A76" s="14"/>
    </row>
    <row r="77" spans="1:1" ht="14.25" customHeight="1" x14ac:dyDescent="0.2">
      <c r="A77" s="14"/>
    </row>
    <row r="78" spans="1:1" ht="14.25" customHeight="1" x14ac:dyDescent="0.2">
      <c r="A78" s="14"/>
    </row>
    <row r="79" spans="1:1" ht="14.25" customHeight="1" x14ac:dyDescent="0.2">
      <c r="A79" s="14"/>
    </row>
    <row r="80" spans="1:1" ht="14.25" customHeight="1" x14ac:dyDescent="0.2">
      <c r="A80" s="14"/>
    </row>
    <row r="81" spans="1:1" ht="14.25" customHeight="1" x14ac:dyDescent="0.2">
      <c r="A81" s="14"/>
    </row>
    <row r="82" spans="1:1" ht="14.25" customHeight="1" x14ac:dyDescent="0.2">
      <c r="A82" s="14"/>
    </row>
    <row r="83" spans="1:1" ht="14.25" customHeight="1" x14ac:dyDescent="0.2">
      <c r="A83" s="14"/>
    </row>
    <row r="84" spans="1:1" ht="14.25" customHeight="1" x14ac:dyDescent="0.2">
      <c r="A84" s="14"/>
    </row>
    <row r="85" spans="1:1" ht="14.25" customHeight="1" x14ac:dyDescent="0.2">
      <c r="A85" s="14"/>
    </row>
    <row r="86" spans="1:1" ht="14.25" customHeight="1" x14ac:dyDescent="0.2">
      <c r="A86" s="14"/>
    </row>
    <row r="87" spans="1:1" ht="14.25" customHeight="1" x14ac:dyDescent="0.2">
      <c r="A87" s="14"/>
    </row>
    <row r="88" spans="1:1" ht="14.25" customHeight="1" x14ac:dyDescent="0.2">
      <c r="A88" s="14"/>
    </row>
    <row r="89" spans="1:1" ht="14.25" customHeight="1" x14ac:dyDescent="0.2">
      <c r="A89" s="14"/>
    </row>
    <row r="90" spans="1:1" ht="14.25" customHeight="1" x14ac:dyDescent="0.2">
      <c r="A90" s="14"/>
    </row>
    <row r="91" spans="1:1" ht="14.25" customHeight="1" x14ac:dyDescent="0.2">
      <c r="A91" s="14"/>
    </row>
    <row r="92" spans="1:1" ht="14.25" customHeight="1" x14ac:dyDescent="0.2">
      <c r="A92" s="14"/>
    </row>
    <row r="93" spans="1:1" ht="14.25" customHeight="1" x14ac:dyDescent="0.2">
      <c r="A93" s="14"/>
    </row>
    <row r="94" spans="1:1" ht="14.25" customHeight="1" x14ac:dyDescent="0.2">
      <c r="A94" s="14"/>
    </row>
    <row r="95" spans="1:1" ht="14.25" customHeight="1" x14ac:dyDescent="0.2">
      <c r="A95" s="14"/>
    </row>
    <row r="96" spans="1: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</sheetData>
  <mergeCells count="25"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G26:H26"/>
    <mergeCell ref="G33:I34"/>
    <mergeCell ref="B19:F19"/>
    <mergeCell ref="B20:F20"/>
    <mergeCell ref="B21:F21"/>
    <mergeCell ref="B24:F24"/>
    <mergeCell ref="G24:H24"/>
    <mergeCell ref="G25:H25"/>
    <mergeCell ref="B28:I29"/>
  </mergeCells>
  <hyperlinks>
    <hyperlink ref="K3" r:id="rId1" xr:uid="{00000000-0004-0000-07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148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149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2625</v>
      </c>
      <c r="H5" s="182"/>
      <c r="I5" s="11">
        <v>45694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150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151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21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11" ht="14.25" customHeight="1" x14ac:dyDescent="0.2">
      <c r="A17" s="22"/>
      <c r="B17" s="28"/>
      <c r="C17" s="28"/>
      <c r="D17" s="28"/>
      <c r="E17" s="28"/>
      <c r="F17" s="29"/>
      <c r="G17" s="26"/>
      <c r="H17" s="24"/>
      <c r="I17" s="24"/>
      <c r="J17" s="27"/>
      <c r="K17" s="19"/>
    </row>
    <row r="18" spans="1:11" ht="14.25" customHeight="1" x14ac:dyDescent="0.2">
      <c r="A18" s="22"/>
      <c r="B18" s="192" t="s">
        <v>22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11" ht="14.25" customHeight="1" x14ac:dyDescent="0.2">
      <c r="A19" s="22"/>
      <c r="B19" s="30"/>
      <c r="C19" s="30"/>
      <c r="D19" s="30"/>
      <c r="E19" s="30"/>
      <c r="F19" s="31"/>
      <c r="G19" s="26"/>
      <c r="H19" s="24"/>
      <c r="I19" s="24"/>
      <c r="J19" s="27"/>
      <c r="K19" s="19"/>
    </row>
    <row r="20" spans="1:11" ht="39" customHeight="1" x14ac:dyDescent="0.2">
      <c r="A20" s="22">
        <v>1</v>
      </c>
      <c r="B20" s="171" t="s">
        <v>152</v>
      </c>
      <c r="C20" s="165"/>
      <c r="D20" s="165"/>
      <c r="E20" s="165"/>
      <c r="F20" s="189"/>
      <c r="G20" s="32">
        <v>1</v>
      </c>
      <c r="H20" s="33">
        <v>290</v>
      </c>
      <c r="I20" s="33">
        <v>290</v>
      </c>
      <c r="J20" s="27">
        <v>150</v>
      </c>
      <c r="K20" s="19"/>
    </row>
    <row r="21" spans="1:11" ht="14.25" customHeight="1" x14ac:dyDescent="0.2">
      <c r="A21" s="22">
        <v>2</v>
      </c>
      <c r="B21" s="171" t="s">
        <v>24</v>
      </c>
      <c r="C21" s="165"/>
      <c r="D21" s="165"/>
      <c r="E21" s="165"/>
      <c r="F21" s="189"/>
      <c r="G21" s="32">
        <v>1</v>
      </c>
      <c r="H21" s="33">
        <v>480</v>
      </c>
      <c r="I21" s="33">
        <v>480</v>
      </c>
      <c r="J21" s="27">
        <v>290</v>
      </c>
      <c r="K21" s="19"/>
    </row>
    <row r="22" spans="1:11" ht="14.25" customHeight="1" x14ac:dyDescent="0.2">
      <c r="A22" s="22">
        <v>3</v>
      </c>
      <c r="B22" s="171" t="s">
        <v>25</v>
      </c>
      <c r="C22" s="165"/>
      <c r="D22" s="165"/>
      <c r="E22" s="165"/>
      <c r="F22" s="189"/>
      <c r="G22" s="32">
        <v>1</v>
      </c>
      <c r="H22" s="33">
        <v>490</v>
      </c>
      <c r="I22" s="33">
        <v>490</v>
      </c>
      <c r="J22" s="27">
        <v>250</v>
      </c>
      <c r="K22" s="19" t="s">
        <v>26</v>
      </c>
    </row>
    <row r="23" spans="1:11" ht="14.25" customHeight="1" x14ac:dyDescent="0.2">
      <c r="A23" s="22">
        <v>4</v>
      </c>
      <c r="B23" s="171" t="s">
        <v>27</v>
      </c>
      <c r="C23" s="165"/>
      <c r="D23" s="165"/>
      <c r="E23" s="165"/>
      <c r="F23" s="189"/>
      <c r="G23" s="32">
        <v>5</v>
      </c>
      <c r="H23" s="33">
        <v>190</v>
      </c>
      <c r="I23" s="33">
        <v>950</v>
      </c>
      <c r="J23" s="27">
        <v>400</v>
      </c>
      <c r="K23" s="19"/>
    </row>
    <row r="24" spans="1:11" ht="39.75" customHeight="1" x14ac:dyDescent="0.2">
      <c r="A24" s="22">
        <v>5</v>
      </c>
      <c r="B24" s="171" t="s">
        <v>153</v>
      </c>
      <c r="C24" s="165"/>
      <c r="D24" s="165"/>
      <c r="E24" s="165"/>
      <c r="F24" s="189"/>
      <c r="G24" s="32">
        <v>1</v>
      </c>
      <c r="H24" s="33">
        <v>290</v>
      </c>
      <c r="I24" s="33">
        <v>290</v>
      </c>
      <c r="J24" s="27">
        <v>150</v>
      </c>
      <c r="K24" s="19"/>
    </row>
    <row r="25" spans="1:11" ht="14.25" customHeight="1" x14ac:dyDescent="0.2">
      <c r="A25" s="22">
        <v>6</v>
      </c>
      <c r="B25" s="164" t="s">
        <v>29</v>
      </c>
      <c r="C25" s="165"/>
      <c r="D25" s="165"/>
      <c r="E25" s="165"/>
      <c r="F25" s="189"/>
      <c r="G25" s="26">
        <v>1</v>
      </c>
      <c r="H25" s="24">
        <v>150</v>
      </c>
      <c r="I25" s="24">
        <v>150</v>
      </c>
      <c r="J25" s="27">
        <v>100</v>
      </c>
      <c r="K25" s="19"/>
    </row>
    <row r="26" spans="1:11" ht="14.25" customHeight="1" x14ac:dyDescent="0.2">
      <c r="A26" s="22">
        <v>7</v>
      </c>
      <c r="B26" s="164" t="s">
        <v>30</v>
      </c>
      <c r="C26" s="165"/>
      <c r="D26" s="165"/>
      <c r="E26" s="165"/>
      <c r="F26" s="189"/>
      <c r="G26" s="26">
        <v>1</v>
      </c>
      <c r="H26" s="24">
        <v>429</v>
      </c>
      <c r="I26" s="24">
        <v>429</v>
      </c>
      <c r="J26" s="27">
        <v>325</v>
      </c>
      <c r="K26" s="19"/>
    </row>
    <row r="27" spans="1:11" ht="14.25" customHeight="1" x14ac:dyDescent="0.2">
      <c r="A27" s="22">
        <v>8</v>
      </c>
      <c r="B27" s="164" t="s">
        <v>31</v>
      </c>
      <c r="C27" s="165"/>
      <c r="D27" s="165"/>
      <c r="E27" s="165"/>
      <c r="F27" s="189"/>
      <c r="G27" s="26">
        <v>1</v>
      </c>
      <c r="H27" s="24">
        <v>480</v>
      </c>
      <c r="I27" s="24">
        <v>480</v>
      </c>
      <c r="J27" s="27">
        <v>240</v>
      </c>
      <c r="K27" s="19"/>
    </row>
    <row r="28" spans="1:11" ht="14.25" customHeight="1" x14ac:dyDescent="0.2">
      <c r="A28" s="22">
        <v>9</v>
      </c>
      <c r="B28" s="164" t="s">
        <v>32</v>
      </c>
      <c r="C28" s="165"/>
      <c r="D28" s="165"/>
      <c r="E28" s="165"/>
      <c r="F28" s="189"/>
      <c r="G28" s="26">
        <v>1</v>
      </c>
      <c r="H28" s="24">
        <v>659</v>
      </c>
      <c r="I28" s="24">
        <v>659</v>
      </c>
      <c r="J28" s="27">
        <v>455</v>
      </c>
      <c r="K28" s="19"/>
    </row>
    <row r="29" spans="1:11" ht="14.25" customHeight="1" x14ac:dyDescent="0.2">
      <c r="A29" s="22">
        <v>10</v>
      </c>
      <c r="B29" s="164" t="s">
        <v>33</v>
      </c>
      <c r="C29" s="165"/>
      <c r="D29" s="165"/>
      <c r="E29" s="165"/>
      <c r="F29" s="189"/>
      <c r="G29" s="26">
        <v>1</v>
      </c>
      <c r="H29" s="24">
        <v>349</v>
      </c>
      <c r="I29" s="24">
        <v>349</v>
      </c>
      <c r="J29" s="27">
        <v>295</v>
      </c>
      <c r="K29" s="19"/>
    </row>
    <row r="30" spans="1:11" ht="14.25" customHeight="1" x14ac:dyDescent="0.2">
      <c r="A30" s="22">
        <v>11</v>
      </c>
      <c r="B30" s="164" t="s">
        <v>34</v>
      </c>
      <c r="C30" s="165"/>
      <c r="D30" s="165"/>
      <c r="E30" s="165"/>
      <c r="F30" s="189"/>
      <c r="G30" s="26">
        <v>1</v>
      </c>
      <c r="H30" s="24">
        <v>599</v>
      </c>
      <c r="I30" s="24">
        <v>599</v>
      </c>
      <c r="J30" s="27">
        <v>459</v>
      </c>
      <c r="K30" s="19"/>
    </row>
    <row r="31" spans="1:11" ht="27.75" customHeight="1" x14ac:dyDescent="0.2">
      <c r="A31" s="22">
        <v>12</v>
      </c>
      <c r="B31" s="164" t="s">
        <v>35</v>
      </c>
      <c r="C31" s="165"/>
      <c r="D31" s="165"/>
      <c r="E31" s="165"/>
      <c r="F31" s="189"/>
      <c r="G31" s="26">
        <v>1</v>
      </c>
      <c r="H31" s="24">
        <v>299</v>
      </c>
      <c r="I31" s="24">
        <v>299</v>
      </c>
      <c r="J31" s="27">
        <v>130</v>
      </c>
      <c r="K31" s="19"/>
    </row>
    <row r="32" spans="1:11" ht="14.25" customHeight="1" x14ac:dyDescent="0.2">
      <c r="A32" s="22">
        <v>13</v>
      </c>
      <c r="B32" s="164" t="s">
        <v>36</v>
      </c>
      <c r="C32" s="165"/>
      <c r="D32" s="165"/>
      <c r="E32" s="165"/>
      <c r="F32" s="189"/>
      <c r="G32" s="26">
        <v>1</v>
      </c>
      <c r="H32" s="24">
        <v>99</v>
      </c>
      <c r="I32" s="24">
        <v>99</v>
      </c>
      <c r="J32" s="27">
        <v>60</v>
      </c>
      <c r="K32" s="19"/>
    </row>
    <row r="33" spans="1:11" ht="14.25" customHeight="1" x14ac:dyDescent="0.2">
      <c r="A33" s="22">
        <v>14</v>
      </c>
      <c r="B33" s="164" t="s">
        <v>37</v>
      </c>
      <c r="C33" s="165"/>
      <c r="D33" s="165"/>
      <c r="E33" s="165"/>
      <c r="F33" s="189"/>
      <c r="G33" s="26">
        <v>1</v>
      </c>
      <c r="H33" s="24">
        <v>289</v>
      </c>
      <c r="I33" s="24">
        <v>289</v>
      </c>
      <c r="J33" s="27">
        <v>189</v>
      </c>
      <c r="K33" s="19"/>
    </row>
    <row r="34" spans="1:11" ht="14.25" customHeight="1" x14ac:dyDescent="0.2">
      <c r="A34" s="22">
        <v>15</v>
      </c>
      <c r="B34" s="164" t="s">
        <v>38</v>
      </c>
      <c r="C34" s="165"/>
      <c r="D34" s="165"/>
      <c r="E34" s="165"/>
      <c r="F34" s="189"/>
      <c r="G34" s="26">
        <v>1</v>
      </c>
      <c r="H34" s="24">
        <v>400</v>
      </c>
      <c r="I34" s="24">
        <v>400</v>
      </c>
      <c r="J34" s="27">
        <v>200</v>
      </c>
      <c r="K34" s="19"/>
    </row>
    <row r="35" spans="1:11" ht="14.25" customHeight="1" x14ac:dyDescent="0.2">
      <c r="A35" s="22"/>
      <c r="B35" s="164"/>
      <c r="C35" s="165"/>
      <c r="D35" s="165"/>
      <c r="E35" s="165"/>
      <c r="F35" s="189"/>
      <c r="G35" s="26"/>
      <c r="H35" s="24"/>
      <c r="I35" s="24"/>
      <c r="J35" s="27"/>
      <c r="K35" s="19"/>
    </row>
    <row r="36" spans="1:11" ht="14.25" customHeight="1" x14ac:dyDescent="0.2">
      <c r="A36" s="22"/>
      <c r="B36" s="164"/>
      <c r="C36" s="165"/>
      <c r="D36" s="165"/>
      <c r="E36" s="165"/>
      <c r="F36" s="189"/>
      <c r="G36" s="26"/>
      <c r="H36" s="24"/>
      <c r="I36" s="24"/>
      <c r="J36" s="27"/>
      <c r="K36" s="19"/>
    </row>
    <row r="37" spans="1:11" ht="14.25" customHeight="1" x14ac:dyDescent="0.2">
      <c r="A37" s="22"/>
      <c r="B37" s="190" t="s">
        <v>39</v>
      </c>
      <c r="C37" s="165"/>
      <c r="D37" s="165"/>
      <c r="E37" s="165"/>
      <c r="F37" s="189"/>
      <c r="G37" s="26"/>
      <c r="H37" s="24"/>
      <c r="I37" s="24"/>
      <c r="J37" s="27"/>
      <c r="K37" s="19"/>
    </row>
    <row r="38" spans="1:11" ht="14.25" customHeight="1" x14ac:dyDescent="0.2">
      <c r="A38" s="22"/>
      <c r="B38" s="166"/>
      <c r="C38" s="165"/>
      <c r="D38" s="165"/>
      <c r="E38" s="165"/>
      <c r="F38" s="189"/>
      <c r="G38" s="26"/>
      <c r="H38" s="24"/>
      <c r="I38" s="24"/>
      <c r="J38" s="27"/>
      <c r="K38" s="19"/>
    </row>
    <row r="39" spans="1:11" ht="14.25" customHeight="1" x14ac:dyDescent="0.2">
      <c r="A39" s="22">
        <v>1</v>
      </c>
      <c r="B39" s="171" t="s">
        <v>76</v>
      </c>
      <c r="C39" s="165"/>
      <c r="D39" s="165"/>
      <c r="E39" s="165"/>
      <c r="F39" s="189"/>
      <c r="G39" s="26">
        <v>3</v>
      </c>
      <c r="H39" s="24">
        <v>3399</v>
      </c>
      <c r="I39" s="24">
        <f>SUM(H39*G39)</f>
        <v>10197</v>
      </c>
      <c r="J39" s="27">
        <v>7650</v>
      </c>
      <c r="K39" s="19">
        <v>3299</v>
      </c>
    </row>
    <row r="40" spans="1:11" ht="14.25" customHeight="1" x14ac:dyDescent="0.2">
      <c r="A40" s="22">
        <v>2</v>
      </c>
      <c r="B40" s="164" t="s">
        <v>41</v>
      </c>
      <c r="C40" s="165"/>
      <c r="D40" s="165"/>
      <c r="E40" s="165"/>
      <c r="F40" s="189"/>
      <c r="G40" s="26">
        <v>1</v>
      </c>
      <c r="H40" s="24">
        <v>450</v>
      </c>
      <c r="I40" s="24">
        <v>450</v>
      </c>
      <c r="J40" s="27">
        <v>240</v>
      </c>
      <c r="K40" s="19"/>
    </row>
    <row r="41" spans="1:11" ht="14.25" customHeight="1" x14ac:dyDescent="0.2">
      <c r="A41" s="22">
        <v>3</v>
      </c>
      <c r="B41" s="171" t="s">
        <v>42</v>
      </c>
      <c r="C41" s="165"/>
      <c r="D41" s="165"/>
      <c r="E41" s="165"/>
      <c r="F41" s="189"/>
      <c r="G41" s="26">
        <v>3</v>
      </c>
      <c r="H41" s="24">
        <v>400</v>
      </c>
      <c r="I41" s="24">
        <v>1200</v>
      </c>
      <c r="J41" s="27">
        <v>600</v>
      </c>
      <c r="K41" s="19"/>
    </row>
    <row r="42" spans="1:11" ht="24" customHeight="1" x14ac:dyDescent="0.2">
      <c r="A42" s="22">
        <v>4</v>
      </c>
      <c r="B42" s="164" t="s">
        <v>43</v>
      </c>
      <c r="C42" s="165"/>
      <c r="D42" s="165"/>
      <c r="E42" s="165"/>
      <c r="F42" s="189"/>
      <c r="G42" s="26">
        <v>4</v>
      </c>
      <c r="H42" s="24">
        <v>65</v>
      </c>
      <c r="I42" s="24">
        <v>260</v>
      </c>
      <c r="J42" s="27">
        <v>140</v>
      </c>
      <c r="K42" s="19"/>
    </row>
    <row r="43" spans="1:11" ht="14.25" customHeight="1" x14ac:dyDescent="0.2">
      <c r="A43" s="22"/>
      <c r="B43" s="34"/>
      <c r="C43" s="34"/>
      <c r="D43" s="34"/>
      <c r="E43" s="34"/>
      <c r="F43" s="36"/>
      <c r="G43" s="26"/>
      <c r="H43" s="24"/>
      <c r="I43" s="24"/>
      <c r="J43" s="27"/>
      <c r="K43" s="19"/>
    </row>
    <row r="44" spans="1:11" ht="14.25" customHeight="1" x14ac:dyDescent="0.2">
      <c r="A44" s="22"/>
      <c r="B44" s="34"/>
      <c r="C44" s="34"/>
      <c r="D44" s="34"/>
      <c r="E44" s="34"/>
      <c r="F44" s="36"/>
      <c r="G44" s="26"/>
      <c r="H44" s="24"/>
      <c r="I44" s="24"/>
      <c r="J44" s="27"/>
      <c r="K44" s="19"/>
    </row>
    <row r="45" spans="1:11" ht="14.25" customHeight="1" x14ac:dyDescent="0.2">
      <c r="A45" s="21" t="s">
        <v>16</v>
      </c>
      <c r="B45" s="188" t="s">
        <v>17</v>
      </c>
      <c r="C45" s="168"/>
      <c r="D45" s="168"/>
      <c r="E45" s="168"/>
      <c r="F45" s="169"/>
      <c r="G45" s="10" t="s">
        <v>18</v>
      </c>
      <c r="H45" s="10" t="s">
        <v>19</v>
      </c>
      <c r="I45" s="10" t="s">
        <v>20</v>
      </c>
      <c r="J45" s="27"/>
      <c r="K45" s="19"/>
    </row>
    <row r="46" spans="1:11" ht="14.25" customHeight="1" x14ac:dyDescent="0.2">
      <c r="A46" s="22"/>
      <c r="B46" s="164"/>
      <c r="C46" s="165"/>
      <c r="D46" s="165"/>
      <c r="E46" s="165"/>
      <c r="F46" s="189"/>
      <c r="G46" s="26"/>
      <c r="H46" s="24"/>
      <c r="I46" s="24"/>
      <c r="J46" s="27"/>
      <c r="K46" s="19"/>
    </row>
    <row r="47" spans="1:11" ht="14.25" customHeight="1" x14ac:dyDescent="0.2">
      <c r="A47" s="22"/>
      <c r="B47" s="190" t="s">
        <v>44</v>
      </c>
      <c r="C47" s="165"/>
      <c r="D47" s="165"/>
      <c r="E47" s="165"/>
      <c r="F47" s="189"/>
      <c r="G47" s="26"/>
      <c r="H47" s="24"/>
      <c r="I47" s="24"/>
      <c r="J47" s="27"/>
      <c r="K47" s="19"/>
    </row>
    <row r="48" spans="1:11" ht="14.25" customHeight="1" x14ac:dyDescent="0.2">
      <c r="A48" s="22"/>
      <c r="B48" s="164"/>
      <c r="C48" s="165"/>
      <c r="D48" s="165"/>
      <c r="E48" s="165"/>
      <c r="F48" s="189"/>
      <c r="G48" s="26"/>
      <c r="H48" s="24"/>
      <c r="I48" s="24"/>
      <c r="J48" s="27"/>
      <c r="K48" s="19"/>
    </row>
    <row r="49" spans="1:14" ht="14.25" customHeight="1" x14ac:dyDescent="0.2">
      <c r="A49" s="22">
        <v>1</v>
      </c>
      <c r="B49" s="164" t="s">
        <v>154</v>
      </c>
      <c r="C49" s="165"/>
      <c r="D49" s="165"/>
      <c r="E49" s="165"/>
      <c r="F49" s="189"/>
      <c r="G49" s="26">
        <v>1</v>
      </c>
      <c r="H49" s="24">
        <v>3599</v>
      </c>
      <c r="I49" s="24">
        <v>3599</v>
      </c>
      <c r="J49" s="27">
        <v>2996</v>
      </c>
      <c r="K49" s="19"/>
    </row>
    <row r="50" spans="1:14" ht="14.25" customHeight="1" x14ac:dyDescent="0.2">
      <c r="A50" s="22">
        <v>2</v>
      </c>
      <c r="B50" s="164" t="s">
        <v>46</v>
      </c>
      <c r="C50" s="165"/>
      <c r="D50" s="165"/>
      <c r="E50" s="165"/>
      <c r="F50" s="189"/>
      <c r="G50" s="26">
        <v>1</v>
      </c>
      <c r="H50" s="24">
        <v>859</v>
      </c>
      <c r="I50" s="24">
        <v>859</v>
      </c>
      <c r="J50" s="27">
        <v>500</v>
      </c>
      <c r="K50" s="19"/>
    </row>
    <row r="51" spans="1:14" ht="28.5" customHeight="1" x14ac:dyDescent="0.2">
      <c r="A51" s="22">
        <v>3</v>
      </c>
      <c r="B51" s="164" t="s">
        <v>155</v>
      </c>
      <c r="C51" s="165"/>
      <c r="D51" s="165"/>
      <c r="E51" s="165"/>
      <c r="F51" s="189"/>
      <c r="G51" s="26">
        <v>1</v>
      </c>
      <c r="H51" s="24">
        <v>350</v>
      </c>
      <c r="I51" s="24">
        <v>350</v>
      </c>
      <c r="J51" s="27">
        <v>150</v>
      </c>
      <c r="K51" s="19"/>
    </row>
    <row r="52" spans="1:14" ht="37.5" customHeight="1" x14ac:dyDescent="0.2">
      <c r="A52" s="22">
        <v>4</v>
      </c>
      <c r="B52" s="164" t="s">
        <v>156</v>
      </c>
      <c r="C52" s="165"/>
      <c r="D52" s="165"/>
      <c r="E52" s="165"/>
      <c r="F52" s="189"/>
      <c r="G52" s="26">
        <v>1</v>
      </c>
      <c r="H52" s="24">
        <v>150</v>
      </c>
      <c r="I52" s="24">
        <v>150</v>
      </c>
      <c r="J52" s="27">
        <v>100</v>
      </c>
      <c r="K52" s="19"/>
    </row>
    <row r="53" spans="1:14" ht="14.25" customHeight="1" x14ac:dyDescent="0.2">
      <c r="A53" s="22">
        <v>5</v>
      </c>
      <c r="B53" s="164" t="s">
        <v>49</v>
      </c>
      <c r="C53" s="165"/>
      <c r="D53" s="165"/>
      <c r="E53" s="165"/>
      <c r="F53" s="189"/>
      <c r="G53" s="26">
        <v>1</v>
      </c>
      <c r="H53" s="24">
        <v>200</v>
      </c>
      <c r="I53" s="24">
        <v>200</v>
      </c>
      <c r="J53" s="27">
        <v>100</v>
      </c>
      <c r="K53" s="19"/>
    </row>
    <row r="54" spans="1:14" ht="14.25" customHeight="1" x14ac:dyDescent="0.2">
      <c r="A54" s="22">
        <v>6</v>
      </c>
      <c r="B54" s="164" t="s">
        <v>40</v>
      </c>
      <c r="C54" s="165"/>
      <c r="D54" s="165"/>
      <c r="E54" s="165"/>
      <c r="F54" s="189"/>
      <c r="G54" s="26">
        <v>3</v>
      </c>
      <c r="H54" s="24">
        <v>4599</v>
      </c>
      <c r="I54" s="24">
        <f>SUM(H54*G54)</f>
        <v>13797</v>
      </c>
      <c r="J54" s="27">
        <v>11700</v>
      </c>
      <c r="K54" s="19">
        <v>4559</v>
      </c>
    </row>
    <row r="55" spans="1:14" ht="26.25" customHeight="1" x14ac:dyDescent="0.2">
      <c r="A55" s="22">
        <v>7</v>
      </c>
      <c r="B55" s="164" t="s">
        <v>157</v>
      </c>
      <c r="C55" s="165"/>
      <c r="D55" s="165"/>
      <c r="E55" s="165"/>
      <c r="F55" s="189"/>
      <c r="G55" s="26">
        <v>2</v>
      </c>
      <c r="H55" s="24">
        <v>60</v>
      </c>
      <c r="I55" s="24">
        <v>120</v>
      </c>
      <c r="J55" s="27">
        <v>50</v>
      </c>
      <c r="K55" s="19"/>
    </row>
    <row r="56" spans="1:14" ht="22.5" customHeight="1" x14ac:dyDescent="0.2">
      <c r="A56" s="22">
        <v>8</v>
      </c>
      <c r="B56" s="164" t="s">
        <v>43</v>
      </c>
      <c r="C56" s="165"/>
      <c r="D56" s="165"/>
      <c r="E56" s="165"/>
      <c r="F56" s="189"/>
      <c r="G56" s="26">
        <v>4</v>
      </c>
      <c r="H56" s="24">
        <v>65</v>
      </c>
      <c r="I56" s="24">
        <v>260</v>
      </c>
      <c r="J56" s="27">
        <v>140</v>
      </c>
      <c r="K56" s="19"/>
    </row>
    <row r="57" spans="1:14" ht="14.25" customHeight="1" x14ac:dyDescent="0.2">
      <c r="A57" s="22"/>
      <c r="B57" s="164"/>
      <c r="C57" s="165"/>
      <c r="D57" s="165"/>
      <c r="E57" s="165"/>
      <c r="F57" s="189"/>
      <c r="G57" s="26"/>
      <c r="H57" s="24"/>
      <c r="I57" s="24"/>
      <c r="J57" s="27"/>
      <c r="K57" s="19"/>
    </row>
    <row r="58" spans="1:14" ht="14.25" customHeight="1" x14ac:dyDescent="0.2">
      <c r="A58" s="22"/>
      <c r="B58" s="34"/>
      <c r="C58" s="34"/>
      <c r="D58" s="34"/>
      <c r="E58" s="34"/>
      <c r="F58" s="36"/>
      <c r="G58" s="26"/>
      <c r="H58" s="24"/>
      <c r="I58" s="24"/>
      <c r="J58" s="27"/>
      <c r="K58" s="19"/>
    </row>
    <row r="59" spans="1:14" ht="14.25" customHeight="1" x14ac:dyDescent="0.2">
      <c r="A59" s="22"/>
      <c r="B59" s="190" t="s">
        <v>51</v>
      </c>
      <c r="C59" s="165"/>
      <c r="D59" s="165"/>
      <c r="E59" s="165"/>
      <c r="F59" s="189"/>
      <c r="G59" s="26"/>
      <c r="H59" s="24"/>
      <c r="I59" s="24"/>
      <c r="J59" s="27"/>
      <c r="K59" s="19"/>
    </row>
    <row r="60" spans="1:14" ht="14.25" customHeight="1" x14ac:dyDescent="0.2">
      <c r="A60" s="22"/>
      <c r="B60" s="164"/>
      <c r="C60" s="165"/>
      <c r="D60" s="165"/>
      <c r="E60" s="165"/>
      <c r="F60" s="189"/>
      <c r="G60" s="26"/>
      <c r="H60" s="24"/>
      <c r="I60" s="24"/>
      <c r="J60" s="27"/>
      <c r="K60" s="19"/>
    </row>
    <row r="61" spans="1:14" ht="76.5" customHeight="1" x14ac:dyDescent="0.2">
      <c r="A61" s="22">
        <v>1</v>
      </c>
      <c r="B61" s="171" t="s">
        <v>158</v>
      </c>
      <c r="C61" s="165"/>
      <c r="D61" s="165"/>
      <c r="E61" s="165"/>
      <c r="F61" s="189"/>
      <c r="G61" s="26">
        <v>1</v>
      </c>
      <c r="H61" s="37">
        <v>4985</v>
      </c>
      <c r="I61" s="37">
        <v>4985</v>
      </c>
      <c r="J61" s="33">
        <v>4600</v>
      </c>
      <c r="K61" s="19"/>
    </row>
    <row r="62" spans="1:14" ht="26.25" customHeight="1" x14ac:dyDescent="0.2">
      <c r="A62" s="22">
        <v>2</v>
      </c>
      <c r="B62" s="164" t="s">
        <v>53</v>
      </c>
      <c r="C62" s="165"/>
      <c r="D62" s="165"/>
      <c r="E62" s="165"/>
      <c r="F62" s="189"/>
      <c r="G62" s="26">
        <v>1</v>
      </c>
      <c r="H62" s="24">
        <v>400</v>
      </c>
      <c r="I62" s="24">
        <v>400</v>
      </c>
      <c r="J62" s="27">
        <v>400</v>
      </c>
      <c r="K62" s="19"/>
      <c r="L62" s="38" t="s">
        <v>54</v>
      </c>
      <c r="M62" s="39" t="s">
        <v>55</v>
      </c>
      <c r="N62" s="40" t="s">
        <v>56</v>
      </c>
    </row>
    <row r="63" spans="1:14" ht="15" customHeight="1" x14ac:dyDescent="0.2">
      <c r="A63" s="22"/>
      <c r="B63" s="166"/>
      <c r="C63" s="165"/>
      <c r="D63" s="165"/>
      <c r="E63" s="165"/>
      <c r="F63" s="189"/>
      <c r="G63" s="26"/>
      <c r="H63" s="24"/>
      <c r="I63" s="24"/>
      <c r="J63" s="27"/>
      <c r="K63" s="19"/>
      <c r="L63" s="41">
        <f>I73</f>
        <v>26628</v>
      </c>
      <c r="M63" s="42">
        <f>SUM(J16:J68)</f>
        <v>33709</v>
      </c>
      <c r="N63" s="43">
        <f>L63-M63</f>
        <v>-7081</v>
      </c>
    </row>
    <row r="64" spans="1:14" ht="14.25" customHeight="1" x14ac:dyDescent="0.2">
      <c r="A64" s="22"/>
      <c r="B64" s="190" t="s">
        <v>57</v>
      </c>
      <c r="C64" s="165"/>
      <c r="D64" s="165"/>
      <c r="E64" s="165"/>
      <c r="F64" s="189"/>
      <c r="G64" s="26"/>
      <c r="H64" s="33"/>
      <c r="I64" s="44"/>
      <c r="J64" s="27"/>
      <c r="K64" s="19"/>
    </row>
    <row r="65" spans="1:26" ht="14.25" customHeight="1" x14ac:dyDescent="0.2">
      <c r="A65" s="22"/>
      <c r="B65" s="25"/>
      <c r="C65" s="35"/>
      <c r="D65" s="35"/>
      <c r="E65" s="35"/>
      <c r="F65" s="45"/>
      <c r="G65" s="26"/>
      <c r="H65" s="33"/>
      <c r="I65" s="44"/>
      <c r="J65" s="27"/>
      <c r="K65" s="19"/>
    </row>
    <row r="66" spans="1:26" ht="14.25" customHeight="1" x14ac:dyDescent="0.2">
      <c r="A66" s="22">
        <v>1</v>
      </c>
      <c r="B66" s="171" t="s">
        <v>58</v>
      </c>
      <c r="C66" s="165"/>
      <c r="D66" s="165"/>
      <c r="E66" s="165"/>
      <c r="F66" s="189"/>
      <c r="G66" s="26">
        <v>1</v>
      </c>
      <c r="H66" s="33">
        <v>800</v>
      </c>
      <c r="I66" s="44">
        <v>800</v>
      </c>
      <c r="J66" s="27">
        <v>400</v>
      </c>
      <c r="K66" s="19"/>
    </row>
    <row r="67" spans="1:26" ht="14.25" customHeight="1" x14ac:dyDescent="0.2">
      <c r="A67" s="22">
        <v>2</v>
      </c>
      <c r="B67" s="171" t="s">
        <v>59</v>
      </c>
      <c r="C67" s="165"/>
      <c r="D67" s="165"/>
      <c r="E67" s="165"/>
      <c r="F67" s="189"/>
      <c r="G67" s="26">
        <v>1</v>
      </c>
      <c r="H67" s="33">
        <v>300</v>
      </c>
      <c r="I67" s="44">
        <v>300</v>
      </c>
      <c r="J67" s="46">
        <v>150</v>
      </c>
      <c r="K67" s="27"/>
    </row>
    <row r="68" spans="1:26" ht="25.5" customHeight="1" x14ac:dyDescent="0.2">
      <c r="A68" s="22">
        <v>3</v>
      </c>
      <c r="B68" s="171" t="s">
        <v>159</v>
      </c>
      <c r="C68" s="165"/>
      <c r="D68" s="165"/>
      <c r="E68" s="165"/>
      <c r="F68" s="189"/>
      <c r="G68" s="26">
        <v>1</v>
      </c>
      <c r="H68" s="33">
        <v>200</v>
      </c>
      <c r="I68" s="44">
        <v>200</v>
      </c>
      <c r="J68" s="27">
        <v>100</v>
      </c>
      <c r="K68" s="19"/>
    </row>
    <row r="69" spans="1:26" ht="25.5" customHeight="1" x14ac:dyDescent="0.2">
      <c r="A69" s="47"/>
      <c r="B69" s="20"/>
      <c r="C69" s="20"/>
      <c r="D69" s="20"/>
      <c r="E69" s="20"/>
      <c r="F69" s="48"/>
      <c r="G69" s="49"/>
      <c r="H69" s="50"/>
      <c r="I69" s="51"/>
      <c r="J69" s="27"/>
      <c r="K69" s="19"/>
    </row>
    <row r="70" spans="1:26" ht="27.75" customHeight="1" x14ac:dyDescent="0.2">
      <c r="A70" s="52"/>
      <c r="B70" s="167" t="s">
        <v>61</v>
      </c>
      <c r="C70" s="168"/>
      <c r="D70" s="168"/>
      <c r="E70" s="168"/>
      <c r="F70" s="169"/>
      <c r="G70" s="170" t="s">
        <v>62</v>
      </c>
      <c r="H70" s="168"/>
      <c r="I70" s="95">
        <f>SUM(I15:I68)</f>
        <v>44380</v>
      </c>
      <c r="J70" s="54"/>
      <c r="K70" s="12" t="s">
        <v>63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24" hidden="1" customHeight="1" x14ac:dyDescent="0.2">
      <c r="A71" s="14"/>
      <c r="B71" s="7"/>
      <c r="C71" s="7"/>
      <c r="D71" s="7"/>
      <c r="E71" s="7"/>
      <c r="F71" s="7"/>
      <c r="G71" s="170" t="s">
        <v>62</v>
      </c>
      <c r="H71" s="168"/>
      <c r="I71" s="60"/>
      <c r="K71" s="12" t="s">
        <v>65</v>
      </c>
    </row>
    <row r="72" spans="1:26" ht="24" customHeight="1" x14ac:dyDescent="0.2">
      <c r="A72" s="14"/>
      <c r="B72" s="7"/>
      <c r="C72" s="7"/>
      <c r="D72" s="7"/>
      <c r="E72" s="7"/>
      <c r="F72" s="7"/>
      <c r="G72" s="170" t="s">
        <v>160</v>
      </c>
      <c r="H72" s="168"/>
      <c r="I72" s="96">
        <v>17752</v>
      </c>
      <c r="K72" s="12"/>
    </row>
    <row r="73" spans="1:26" ht="24" customHeight="1" x14ac:dyDescent="0.2">
      <c r="A73" s="14"/>
      <c r="B73" s="7"/>
      <c r="C73" s="7"/>
      <c r="D73" s="7"/>
      <c r="E73" s="7"/>
      <c r="F73" s="7"/>
      <c r="G73" s="162" t="s">
        <v>161</v>
      </c>
      <c r="H73" s="163"/>
      <c r="I73" s="55">
        <f>I70-I72</f>
        <v>26628</v>
      </c>
    </row>
    <row r="74" spans="1:26" ht="24" customHeight="1" x14ac:dyDescent="0.2">
      <c r="A74" s="14"/>
      <c r="B74" s="7"/>
      <c r="C74" s="7"/>
      <c r="D74" s="7"/>
      <c r="E74" s="7"/>
      <c r="F74" s="7"/>
      <c r="G74" s="56"/>
      <c r="H74" s="56"/>
      <c r="I74" s="57"/>
    </row>
    <row r="75" spans="1:26" ht="14.25" customHeight="1" x14ac:dyDescent="0.2">
      <c r="A75" s="14"/>
      <c r="B75" s="171" t="s">
        <v>162</v>
      </c>
      <c r="C75" s="165"/>
      <c r="D75" s="165"/>
      <c r="E75" s="165"/>
      <c r="F75" s="165"/>
      <c r="G75" s="165"/>
      <c r="H75" s="165"/>
      <c r="I75" s="165"/>
      <c r="K75" s="12" t="s">
        <v>68</v>
      </c>
    </row>
    <row r="76" spans="1:26" ht="14.25" customHeight="1" x14ac:dyDescent="0.2">
      <c r="A76" s="14"/>
      <c r="B76" s="165"/>
      <c r="C76" s="165"/>
      <c r="D76" s="165"/>
      <c r="E76" s="165"/>
      <c r="F76" s="165"/>
      <c r="G76" s="165"/>
      <c r="H76" s="165"/>
      <c r="I76" s="165"/>
      <c r="K76" s="12"/>
    </row>
    <row r="77" spans="1:26" ht="14.25" customHeight="1" x14ac:dyDescent="0.2">
      <c r="A77" s="14"/>
      <c r="B77" s="46" t="s">
        <v>69</v>
      </c>
    </row>
    <row r="78" spans="1:26" ht="14.25" customHeight="1" x14ac:dyDescent="0.2">
      <c r="A78" s="14"/>
      <c r="B78" s="20"/>
      <c r="C78" s="20"/>
      <c r="D78" s="20"/>
      <c r="E78" s="20"/>
      <c r="F78" s="20"/>
      <c r="G78" s="20"/>
      <c r="H78" s="20"/>
      <c r="I78" s="20"/>
    </row>
    <row r="79" spans="1:26" ht="14.25" customHeight="1" x14ac:dyDescent="0.2">
      <c r="A79" s="14"/>
      <c r="B79" s="58"/>
    </row>
    <row r="80" spans="1:26" ht="116.25" customHeight="1" x14ac:dyDescent="0.2">
      <c r="A80" s="14"/>
      <c r="B80" s="7"/>
      <c r="C80" s="7"/>
      <c r="D80" s="7"/>
      <c r="E80" s="7"/>
      <c r="F80" s="7"/>
      <c r="G80" s="164" t="s">
        <v>70</v>
      </c>
      <c r="H80" s="165"/>
      <c r="I80" s="165"/>
    </row>
    <row r="81" spans="1:11" ht="14.25" customHeight="1" x14ac:dyDescent="0.2">
      <c r="A81" s="14"/>
      <c r="B81" s="7"/>
      <c r="C81" s="7"/>
      <c r="D81" s="7"/>
      <c r="E81" s="7"/>
      <c r="F81" s="7"/>
      <c r="G81" s="165"/>
      <c r="H81" s="165"/>
      <c r="I81" s="165"/>
      <c r="K81" s="12" t="s">
        <v>71</v>
      </c>
    </row>
    <row r="82" spans="1:11" ht="14.25" customHeight="1" x14ac:dyDescent="0.2">
      <c r="A82" s="14"/>
      <c r="B82" s="59"/>
      <c r="C82" s="59"/>
      <c r="D82" s="59"/>
      <c r="E82" s="59"/>
      <c r="F82" s="59"/>
      <c r="G82" s="59"/>
      <c r="H82" s="59"/>
      <c r="I82" s="59"/>
      <c r="K82" s="12"/>
    </row>
    <row r="83" spans="1:11" ht="14.25" customHeight="1" x14ac:dyDescent="0.2">
      <c r="A83" s="14"/>
    </row>
    <row r="84" spans="1:11" ht="14.25" customHeight="1" x14ac:dyDescent="0.2">
      <c r="A84" s="14"/>
    </row>
    <row r="85" spans="1:11" ht="14.25" customHeight="1" x14ac:dyDescent="0.2">
      <c r="A85" s="14"/>
    </row>
    <row r="86" spans="1:11" ht="14.25" customHeight="1" x14ac:dyDescent="0.2">
      <c r="A86" s="14"/>
    </row>
    <row r="87" spans="1:11" ht="14.25" customHeight="1" x14ac:dyDescent="0.2">
      <c r="A87" s="14"/>
    </row>
    <row r="88" spans="1:11" ht="14.25" customHeight="1" x14ac:dyDescent="0.2">
      <c r="A88" s="14"/>
    </row>
    <row r="89" spans="1:11" ht="14.25" customHeight="1" x14ac:dyDescent="0.2">
      <c r="A89" s="14"/>
    </row>
    <row r="90" spans="1:11" ht="14.25" customHeight="1" x14ac:dyDescent="0.2">
      <c r="A90" s="14"/>
    </row>
    <row r="91" spans="1:11" ht="14.25" customHeight="1" x14ac:dyDescent="0.2">
      <c r="A91" s="14"/>
    </row>
    <row r="92" spans="1:11" ht="14.25" customHeight="1" x14ac:dyDescent="0.2">
      <c r="A92" s="14"/>
    </row>
    <row r="93" spans="1:11" ht="14.25" customHeight="1" x14ac:dyDescent="0.2">
      <c r="A93" s="14"/>
    </row>
    <row r="94" spans="1:11" ht="14.25" customHeight="1" x14ac:dyDescent="0.2">
      <c r="A94" s="14"/>
    </row>
    <row r="95" spans="1:11" ht="14.25" customHeight="1" x14ac:dyDescent="0.2">
      <c r="A95" s="14"/>
    </row>
    <row r="96" spans="1:1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68">
    <mergeCell ref="B50:F50"/>
    <mergeCell ref="B51:F51"/>
    <mergeCell ref="B52:F52"/>
    <mergeCell ref="B53:F53"/>
    <mergeCell ref="B54:F54"/>
    <mergeCell ref="B55:F55"/>
    <mergeCell ref="B56:F56"/>
    <mergeCell ref="B57:F57"/>
    <mergeCell ref="B59:F59"/>
    <mergeCell ref="B60:F60"/>
    <mergeCell ref="B61:F61"/>
    <mergeCell ref="B62:F62"/>
    <mergeCell ref="B63:F63"/>
    <mergeCell ref="B64:F64"/>
    <mergeCell ref="G73:H73"/>
    <mergeCell ref="B75:I76"/>
    <mergeCell ref="G80:I81"/>
    <mergeCell ref="B66:F66"/>
    <mergeCell ref="B67:F67"/>
    <mergeCell ref="B68:F68"/>
    <mergeCell ref="B70:F70"/>
    <mergeCell ref="G70:H70"/>
    <mergeCell ref="G71:H71"/>
    <mergeCell ref="G72:H72"/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5:F45"/>
    <mergeCell ref="B46:F46"/>
    <mergeCell ref="B47:F47"/>
    <mergeCell ref="B48:F48"/>
    <mergeCell ref="B49:F49"/>
  </mergeCells>
  <hyperlinks>
    <hyperlink ref="K3" r:id="rId1" xr:uid="{00000000-0004-0000-08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148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149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2628</v>
      </c>
      <c r="H5" s="182"/>
      <c r="I5" s="11">
        <v>45708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0"/>
      <c r="H6" s="181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163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164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21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11" ht="14.25" customHeight="1" x14ac:dyDescent="0.2">
      <c r="A17" s="22"/>
      <c r="B17" s="28"/>
      <c r="C17" s="28"/>
      <c r="D17" s="28"/>
      <c r="E17" s="28"/>
      <c r="F17" s="29"/>
      <c r="G17" s="26"/>
      <c r="H17" s="24"/>
      <c r="I17" s="24"/>
      <c r="J17" s="27"/>
      <c r="K17" s="19"/>
    </row>
    <row r="18" spans="1:11" ht="14.25" customHeight="1" x14ac:dyDescent="0.2">
      <c r="A18" s="22"/>
      <c r="B18" s="192" t="s">
        <v>22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11" ht="14.25" customHeight="1" x14ac:dyDescent="0.2">
      <c r="A19" s="22"/>
      <c r="B19" s="30"/>
      <c r="C19" s="30"/>
      <c r="D19" s="30"/>
      <c r="E19" s="30"/>
      <c r="F19" s="31"/>
      <c r="G19" s="26"/>
      <c r="H19" s="24"/>
      <c r="I19" s="24"/>
      <c r="J19" s="27"/>
      <c r="K19" s="19"/>
    </row>
    <row r="20" spans="1:11" ht="39" customHeight="1" x14ac:dyDescent="0.2">
      <c r="A20" s="22">
        <v>1</v>
      </c>
      <c r="B20" s="171" t="s">
        <v>165</v>
      </c>
      <c r="C20" s="165"/>
      <c r="D20" s="165"/>
      <c r="E20" s="165"/>
      <c r="F20" s="189"/>
      <c r="G20" s="32">
        <v>1</v>
      </c>
      <c r="H20" s="33">
        <v>290</v>
      </c>
      <c r="I20" s="33">
        <v>290</v>
      </c>
      <c r="J20" s="27">
        <v>150</v>
      </c>
      <c r="K20" s="19"/>
    </row>
    <row r="21" spans="1:11" ht="14.25" customHeight="1" x14ac:dyDescent="0.2">
      <c r="A21" s="22">
        <v>2</v>
      </c>
      <c r="B21" s="171" t="s">
        <v>24</v>
      </c>
      <c r="C21" s="165"/>
      <c r="D21" s="165"/>
      <c r="E21" s="165"/>
      <c r="F21" s="189"/>
      <c r="G21" s="32">
        <v>1</v>
      </c>
      <c r="H21" s="33">
        <v>480</v>
      </c>
      <c r="I21" s="33">
        <v>480</v>
      </c>
      <c r="J21" s="27">
        <v>290</v>
      </c>
      <c r="K21" s="19"/>
    </row>
    <row r="22" spans="1:11" ht="14.25" customHeight="1" x14ac:dyDescent="0.2">
      <c r="A22" s="22">
        <v>3</v>
      </c>
      <c r="B22" s="171" t="s">
        <v>25</v>
      </c>
      <c r="C22" s="165"/>
      <c r="D22" s="165"/>
      <c r="E22" s="165"/>
      <c r="F22" s="189"/>
      <c r="G22" s="32">
        <v>1</v>
      </c>
      <c r="H22" s="33">
        <v>490</v>
      </c>
      <c r="I22" s="33">
        <v>490</v>
      </c>
      <c r="J22" s="27">
        <v>250</v>
      </c>
      <c r="K22" s="19" t="s">
        <v>26</v>
      </c>
    </row>
    <row r="23" spans="1:11" ht="14.25" customHeight="1" x14ac:dyDescent="0.2">
      <c r="A23" s="22">
        <v>4</v>
      </c>
      <c r="B23" s="171" t="s">
        <v>27</v>
      </c>
      <c r="C23" s="165"/>
      <c r="D23" s="165"/>
      <c r="E23" s="165"/>
      <c r="F23" s="189"/>
      <c r="G23" s="32">
        <v>5</v>
      </c>
      <c r="H23" s="33">
        <v>190</v>
      </c>
      <c r="I23" s="33">
        <v>950</v>
      </c>
      <c r="J23" s="27">
        <v>400</v>
      </c>
      <c r="K23" s="19"/>
    </row>
    <row r="24" spans="1:11" ht="39.75" customHeight="1" x14ac:dyDescent="0.2">
      <c r="A24" s="22">
        <v>5</v>
      </c>
      <c r="B24" s="171" t="s">
        <v>166</v>
      </c>
      <c r="C24" s="165"/>
      <c r="D24" s="165"/>
      <c r="E24" s="165"/>
      <c r="F24" s="189"/>
      <c r="G24" s="32">
        <v>1</v>
      </c>
      <c r="H24" s="33">
        <v>290</v>
      </c>
      <c r="I24" s="33">
        <v>290</v>
      </c>
      <c r="J24" s="27">
        <v>150</v>
      </c>
      <c r="K24" s="19"/>
    </row>
    <row r="25" spans="1:11" ht="14.25" customHeight="1" x14ac:dyDescent="0.2">
      <c r="A25" s="22">
        <v>6</v>
      </c>
      <c r="B25" s="164" t="s">
        <v>29</v>
      </c>
      <c r="C25" s="165"/>
      <c r="D25" s="165"/>
      <c r="E25" s="165"/>
      <c r="F25" s="189"/>
      <c r="G25" s="26">
        <v>1</v>
      </c>
      <c r="H25" s="24">
        <v>150</v>
      </c>
      <c r="I25" s="24">
        <v>150</v>
      </c>
      <c r="J25" s="27">
        <v>100</v>
      </c>
      <c r="K25" s="19"/>
    </row>
    <row r="26" spans="1:11" ht="14.25" customHeight="1" x14ac:dyDescent="0.2">
      <c r="A26" s="22">
        <v>7</v>
      </c>
      <c r="B26" s="164" t="s">
        <v>30</v>
      </c>
      <c r="C26" s="165"/>
      <c r="D26" s="165"/>
      <c r="E26" s="165"/>
      <c r="F26" s="189"/>
      <c r="G26" s="26">
        <v>1</v>
      </c>
      <c r="H26" s="24">
        <v>429</v>
      </c>
      <c r="I26" s="24">
        <v>429</v>
      </c>
      <c r="J26" s="27">
        <v>325</v>
      </c>
      <c r="K26" s="19"/>
    </row>
    <row r="27" spans="1:11" ht="14.25" customHeight="1" x14ac:dyDescent="0.2">
      <c r="A27" s="22">
        <v>8</v>
      </c>
      <c r="B27" s="164" t="s">
        <v>31</v>
      </c>
      <c r="C27" s="165"/>
      <c r="D27" s="165"/>
      <c r="E27" s="165"/>
      <c r="F27" s="189"/>
      <c r="G27" s="26">
        <v>1</v>
      </c>
      <c r="H27" s="24">
        <v>480</v>
      </c>
      <c r="I27" s="24">
        <v>480</v>
      </c>
      <c r="J27" s="27">
        <v>240</v>
      </c>
      <c r="K27" s="19"/>
    </row>
    <row r="28" spans="1:11" ht="14.25" customHeight="1" x14ac:dyDescent="0.2">
      <c r="A28" s="22">
        <v>9</v>
      </c>
      <c r="B28" s="164" t="s">
        <v>32</v>
      </c>
      <c r="C28" s="165"/>
      <c r="D28" s="165"/>
      <c r="E28" s="165"/>
      <c r="F28" s="189"/>
      <c r="G28" s="26">
        <v>1</v>
      </c>
      <c r="H28" s="24">
        <v>659</v>
      </c>
      <c r="I28" s="24">
        <v>659</v>
      </c>
      <c r="J28" s="27">
        <v>455</v>
      </c>
      <c r="K28" s="19"/>
    </row>
    <row r="29" spans="1:11" ht="14.25" customHeight="1" x14ac:dyDescent="0.2">
      <c r="A29" s="22">
        <v>10</v>
      </c>
      <c r="B29" s="164" t="s">
        <v>33</v>
      </c>
      <c r="C29" s="165"/>
      <c r="D29" s="165"/>
      <c r="E29" s="165"/>
      <c r="F29" s="189"/>
      <c r="G29" s="26">
        <v>1</v>
      </c>
      <c r="H29" s="24">
        <v>349</v>
      </c>
      <c r="I29" s="24">
        <v>349</v>
      </c>
      <c r="J29" s="27">
        <v>295</v>
      </c>
      <c r="K29" s="19"/>
    </row>
    <row r="30" spans="1:11" ht="14.25" customHeight="1" x14ac:dyDescent="0.2">
      <c r="A30" s="22">
        <v>11</v>
      </c>
      <c r="B30" s="164" t="s">
        <v>34</v>
      </c>
      <c r="C30" s="165"/>
      <c r="D30" s="165"/>
      <c r="E30" s="165"/>
      <c r="F30" s="189"/>
      <c r="G30" s="26">
        <v>1</v>
      </c>
      <c r="H30" s="24">
        <v>599</v>
      </c>
      <c r="I30" s="24">
        <v>599</v>
      </c>
      <c r="J30" s="27">
        <v>459</v>
      </c>
      <c r="K30" s="19"/>
    </row>
    <row r="31" spans="1:11" ht="27.75" customHeight="1" x14ac:dyDescent="0.2">
      <c r="A31" s="22">
        <v>12</v>
      </c>
      <c r="B31" s="164" t="s">
        <v>35</v>
      </c>
      <c r="C31" s="165"/>
      <c r="D31" s="165"/>
      <c r="E31" s="165"/>
      <c r="F31" s="189"/>
      <c r="G31" s="26">
        <v>1</v>
      </c>
      <c r="H31" s="24">
        <v>299</v>
      </c>
      <c r="I31" s="24">
        <v>299</v>
      </c>
      <c r="J31" s="27">
        <v>130</v>
      </c>
      <c r="K31" s="19"/>
    </row>
    <row r="32" spans="1:11" ht="14.25" customHeight="1" x14ac:dyDescent="0.2">
      <c r="A32" s="22">
        <v>13</v>
      </c>
      <c r="B32" s="164" t="s">
        <v>36</v>
      </c>
      <c r="C32" s="165"/>
      <c r="D32" s="165"/>
      <c r="E32" s="165"/>
      <c r="F32" s="189"/>
      <c r="G32" s="26">
        <v>1</v>
      </c>
      <c r="H32" s="24">
        <v>99</v>
      </c>
      <c r="I32" s="24">
        <v>99</v>
      </c>
      <c r="J32" s="27">
        <v>60</v>
      </c>
      <c r="K32" s="19"/>
    </row>
    <row r="33" spans="1:11" ht="14.25" customHeight="1" x14ac:dyDescent="0.2">
      <c r="A33" s="22">
        <v>14</v>
      </c>
      <c r="B33" s="164" t="s">
        <v>37</v>
      </c>
      <c r="C33" s="165"/>
      <c r="D33" s="165"/>
      <c r="E33" s="165"/>
      <c r="F33" s="189"/>
      <c r="G33" s="26">
        <v>1</v>
      </c>
      <c r="H33" s="24">
        <v>289</v>
      </c>
      <c r="I33" s="24">
        <v>289</v>
      </c>
      <c r="J33" s="27">
        <v>189</v>
      </c>
      <c r="K33" s="19"/>
    </row>
    <row r="34" spans="1:11" ht="14.25" customHeight="1" x14ac:dyDescent="0.2">
      <c r="A34" s="22">
        <v>15</v>
      </c>
      <c r="B34" s="164" t="s">
        <v>38</v>
      </c>
      <c r="C34" s="165"/>
      <c r="D34" s="165"/>
      <c r="E34" s="165"/>
      <c r="F34" s="189"/>
      <c r="G34" s="26">
        <v>1</v>
      </c>
      <c r="H34" s="24">
        <v>400</v>
      </c>
      <c r="I34" s="24">
        <v>400</v>
      </c>
      <c r="J34" s="27">
        <v>200</v>
      </c>
      <c r="K34" s="19"/>
    </row>
    <row r="35" spans="1:11" ht="14.25" customHeight="1" x14ac:dyDescent="0.2">
      <c r="A35" s="22"/>
      <c r="B35" s="164"/>
      <c r="C35" s="165"/>
      <c r="D35" s="165"/>
      <c r="E35" s="165"/>
      <c r="F35" s="189"/>
      <c r="G35" s="26"/>
      <c r="H35" s="24"/>
      <c r="I35" s="24"/>
      <c r="J35" s="27"/>
      <c r="K35" s="19"/>
    </row>
    <row r="36" spans="1:11" ht="14.25" customHeight="1" x14ac:dyDescent="0.2">
      <c r="A36" s="22"/>
      <c r="B36" s="164"/>
      <c r="C36" s="165"/>
      <c r="D36" s="165"/>
      <c r="E36" s="165"/>
      <c r="F36" s="189"/>
      <c r="G36" s="26"/>
      <c r="H36" s="24"/>
      <c r="I36" s="24"/>
      <c r="J36" s="27"/>
      <c r="K36" s="19"/>
    </row>
    <row r="37" spans="1:11" ht="14.25" customHeight="1" x14ac:dyDescent="0.2">
      <c r="A37" s="22"/>
      <c r="B37" s="190" t="s">
        <v>39</v>
      </c>
      <c r="C37" s="165"/>
      <c r="D37" s="165"/>
      <c r="E37" s="165"/>
      <c r="F37" s="189"/>
      <c r="G37" s="26"/>
      <c r="H37" s="24"/>
      <c r="I37" s="24"/>
      <c r="J37" s="27"/>
      <c r="K37" s="19"/>
    </row>
    <row r="38" spans="1:11" ht="14.25" customHeight="1" x14ac:dyDescent="0.2">
      <c r="A38" s="22"/>
      <c r="B38" s="166"/>
      <c r="C38" s="165"/>
      <c r="D38" s="165"/>
      <c r="E38" s="165"/>
      <c r="F38" s="189"/>
      <c r="G38" s="26"/>
      <c r="H38" s="24"/>
      <c r="I38" s="24"/>
      <c r="J38" s="27"/>
      <c r="K38" s="19"/>
    </row>
    <row r="39" spans="1:11" ht="14.25" customHeight="1" x14ac:dyDescent="0.2">
      <c r="A39" s="22">
        <v>1</v>
      </c>
      <c r="B39" s="171" t="s">
        <v>76</v>
      </c>
      <c r="C39" s="165"/>
      <c r="D39" s="165"/>
      <c r="E39" s="165"/>
      <c r="F39" s="189"/>
      <c r="G39" s="26">
        <v>3</v>
      </c>
      <c r="H39" s="24">
        <v>3399</v>
      </c>
      <c r="I39" s="24">
        <f>SUM(H39*G39)</f>
        <v>10197</v>
      </c>
      <c r="J39" s="27">
        <v>7650</v>
      </c>
      <c r="K39" s="19">
        <v>3299</v>
      </c>
    </row>
    <row r="40" spans="1:11" ht="14.25" customHeight="1" x14ac:dyDescent="0.2">
      <c r="A40" s="22">
        <v>2</v>
      </c>
      <c r="B40" s="164" t="s">
        <v>41</v>
      </c>
      <c r="C40" s="165"/>
      <c r="D40" s="165"/>
      <c r="E40" s="165"/>
      <c r="F40" s="189"/>
      <c r="G40" s="26">
        <v>1</v>
      </c>
      <c r="H40" s="24">
        <v>450</v>
      </c>
      <c r="I40" s="24">
        <v>450</v>
      </c>
      <c r="J40" s="27">
        <v>240</v>
      </c>
      <c r="K40" s="19"/>
    </row>
    <row r="41" spans="1:11" ht="14.25" customHeight="1" x14ac:dyDescent="0.2">
      <c r="A41" s="22">
        <v>3</v>
      </c>
      <c r="B41" s="171" t="s">
        <v>42</v>
      </c>
      <c r="C41" s="165"/>
      <c r="D41" s="165"/>
      <c r="E41" s="165"/>
      <c r="F41" s="189"/>
      <c r="G41" s="26">
        <v>3</v>
      </c>
      <c r="H41" s="24">
        <v>400</v>
      </c>
      <c r="I41" s="24">
        <v>1200</v>
      </c>
      <c r="J41" s="27">
        <v>600</v>
      </c>
      <c r="K41" s="19"/>
    </row>
    <row r="42" spans="1:11" ht="24" customHeight="1" x14ac:dyDescent="0.2">
      <c r="A42" s="22">
        <v>4</v>
      </c>
      <c r="B42" s="164" t="s">
        <v>43</v>
      </c>
      <c r="C42" s="165"/>
      <c r="D42" s="165"/>
      <c r="E42" s="165"/>
      <c r="F42" s="189"/>
      <c r="G42" s="26">
        <v>4</v>
      </c>
      <c r="H42" s="24">
        <v>65</v>
      </c>
      <c r="I42" s="24">
        <v>260</v>
      </c>
      <c r="J42" s="27">
        <v>140</v>
      </c>
      <c r="K42" s="19"/>
    </row>
    <row r="43" spans="1:11" ht="14.25" customHeight="1" x14ac:dyDescent="0.2">
      <c r="A43" s="22"/>
      <c r="B43" s="34"/>
      <c r="C43" s="34"/>
      <c r="D43" s="34"/>
      <c r="E43" s="34"/>
      <c r="F43" s="36"/>
      <c r="G43" s="26"/>
      <c r="H43" s="24"/>
      <c r="I43" s="24"/>
      <c r="J43" s="27"/>
      <c r="K43" s="19"/>
    </row>
    <row r="44" spans="1:11" ht="14.25" customHeight="1" x14ac:dyDescent="0.2">
      <c r="A44" s="22"/>
      <c r="B44" s="34"/>
      <c r="C44" s="34"/>
      <c r="D44" s="34"/>
      <c r="E44" s="34"/>
      <c r="F44" s="36"/>
      <c r="G44" s="26"/>
      <c r="H44" s="24"/>
      <c r="I44" s="24"/>
      <c r="J44" s="27"/>
      <c r="K44" s="19"/>
    </row>
    <row r="45" spans="1:11" ht="14.25" customHeight="1" x14ac:dyDescent="0.2">
      <c r="A45" s="21" t="s">
        <v>16</v>
      </c>
      <c r="B45" s="188" t="s">
        <v>17</v>
      </c>
      <c r="C45" s="168"/>
      <c r="D45" s="168"/>
      <c r="E45" s="168"/>
      <c r="F45" s="169"/>
      <c r="G45" s="10" t="s">
        <v>18</v>
      </c>
      <c r="H45" s="10" t="s">
        <v>19</v>
      </c>
      <c r="I45" s="10" t="s">
        <v>20</v>
      </c>
      <c r="J45" s="27"/>
      <c r="K45" s="19"/>
    </row>
    <row r="46" spans="1:11" ht="14.25" customHeight="1" x14ac:dyDescent="0.2">
      <c r="A46" s="22"/>
      <c r="B46" s="164"/>
      <c r="C46" s="165"/>
      <c r="D46" s="165"/>
      <c r="E46" s="165"/>
      <c r="F46" s="189"/>
      <c r="G46" s="26"/>
      <c r="H46" s="24"/>
      <c r="I46" s="24"/>
      <c r="J46" s="27"/>
      <c r="K46" s="19"/>
    </row>
    <row r="47" spans="1:11" ht="14.25" customHeight="1" x14ac:dyDescent="0.2">
      <c r="A47" s="22"/>
      <c r="B47" s="190" t="s">
        <v>44</v>
      </c>
      <c r="C47" s="165"/>
      <c r="D47" s="165"/>
      <c r="E47" s="165"/>
      <c r="F47" s="189"/>
      <c r="G47" s="26"/>
      <c r="H47" s="24"/>
      <c r="I47" s="24"/>
      <c r="J47" s="27"/>
      <c r="K47" s="19"/>
    </row>
    <row r="48" spans="1:11" ht="14.25" customHeight="1" x14ac:dyDescent="0.2">
      <c r="A48" s="22"/>
      <c r="B48" s="164"/>
      <c r="C48" s="165"/>
      <c r="D48" s="165"/>
      <c r="E48" s="165"/>
      <c r="F48" s="189"/>
      <c r="G48" s="26"/>
      <c r="H48" s="24"/>
      <c r="I48" s="24"/>
      <c r="J48" s="27"/>
      <c r="K48" s="19"/>
    </row>
    <row r="49" spans="1:14" ht="14.25" customHeight="1" x14ac:dyDescent="0.2">
      <c r="A49" s="22">
        <v>1</v>
      </c>
      <c r="B49" s="164" t="s">
        <v>154</v>
      </c>
      <c r="C49" s="165"/>
      <c r="D49" s="165"/>
      <c r="E49" s="165"/>
      <c r="F49" s="189"/>
      <c r="G49" s="26">
        <v>1</v>
      </c>
      <c r="H49" s="24">
        <v>3599</v>
      </c>
      <c r="I49" s="24">
        <v>3599</v>
      </c>
      <c r="J49" s="27">
        <v>2996</v>
      </c>
      <c r="K49" s="19"/>
    </row>
    <row r="50" spans="1:14" ht="14.25" customHeight="1" x14ac:dyDescent="0.2">
      <c r="A50" s="22">
        <v>2</v>
      </c>
      <c r="B50" s="164" t="s">
        <v>46</v>
      </c>
      <c r="C50" s="165"/>
      <c r="D50" s="165"/>
      <c r="E50" s="165"/>
      <c r="F50" s="189"/>
      <c r="G50" s="26">
        <v>1</v>
      </c>
      <c r="H50" s="24">
        <v>859</v>
      </c>
      <c r="I50" s="24">
        <v>859</v>
      </c>
      <c r="J50" s="27">
        <v>500</v>
      </c>
      <c r="K50" s="19"/>
    </row>
    <row r="51" spans="1:14" ht="28.5" customHeight="1" x14ac:dyDescent="0.2">
      <c r="A51" s="22">
        <v>3</v>
      </c>
      <c r="B51" s="164" t="s">
        <v>167</v>
      </c>
      <c r="C51" s="165"/>
      <c r="D51" s="165"/>
      <c r="E51" s="165"/>
      <c r="F51" s="189"/>
      <c r="G51" s="26">
        <v>1</v>
      </c>
      <c r="H51" s="24">
        <v>350</v>
      </c>
      <c r="I51" s="24">
        <v>350</v>
      </c>
      <c r="J51" s="27">
        <v>150</v>
      </c>
      <c r="K51" s="19"/>
    </row>
    <row r="52" spans="1:14" ht="37.5" customHeight="1" x14ac:dyDescent="0.2">
      <c r="A52" s="22">
        <v>4</v>
      </c>
      <c r="B52" s="164" t="s">
        <v>168</v>
      </c>
      <c r="C52" s="165"/>
      <c r="D52" s="165"/>
      <c r="E52" s="165"/>
      <c r="F52" s="189"/>
      <c r="G52" s="26">
        <v>1</v>
      </c>
      <c r="H52" s="24">
        <v>150</v>
      </c>
      <c r="I52" s="24">
        <v>150</v>
      </c>
      <c r="J52" s="27">
        <v>100</v>
      </c>
      <c r="K52" s="19"/>
    </row>
    <row r="53" spans="1:14" ht="14.25" customHeight="1" x14ac:dyDescent="0.2">
      <c r="A53" s="22">
        <v>5</v>
      </c>
      <c r="B53" s="164" t="s">
        <v>49</v>
      </c>
      <c r="C53" s="165"/>
      <c r="D53" s="165"/>
      <c r="E53" s="165"/>
      <c r="F53" s="189"/>
      <c r="G53" s="26">
        <v>1</v>
      </c>
      <c r="H53" s="24">
        <v>200</v>
      </c>
      <c r="I53" s="24">
        <v>200</v>
      </c>
      <c r="J53" s="27">
        <v>100</v>
      </c>
      <c r="K53" s="19"/>
    </row>
    <row r="54" spans="1:14" ht="14.25" customHeight="1" x14ac:dyDescent="0.2">
      <c r="A54" s="22">
        <v>6</v>
      </c>
      <c r="B54" s="164" t="s">
        <v>40</v>
      </c>
      <c r="C54" s="165"/>
      <c r="D54" s="165"/>
      <c r="E54" s="165"/>
      <c r="F54" s="189"/>
      <c r="G54" s="26">
        <v>3</v>
      </c>
      <c r="H54" s="24">
        <v>4599</v>
      </c>
      <c r="I54" s="24">
        <f>SUM(H54*G54)</f>
        <v>13797</v>
      </c>
      <c r="J54" s="27">
        <v>11700</v>
      </c>
      <c r="K54" s="19">
        <v>4559</v>
      </c>
    </row>
    <row r="55" spans="1:14" ht="26.25" customHeight="1" x14ac:dyDescent="0.2">
      <c r="A55" s="22">
        <v>7</v>
      </c>
      <c r="B55" s="164" t="s">
        <v>169</v>
      </c>
      <c r="C55" s="165"/>
      <c r="D55" s="165"/>
      <c r="E55" s="165"/>
      <c r="F55" s="189"/>
      <c r="G55" s="26">
        <v>2</v>
      </c>
      <c r="H55" s="24">
        <v>60</v>
      </c>
      <c r="I55" s="24">
        <v>120</v>
      </c>
      <c r="J55" s="27">
        <v>50</v>
      </c>
      <c r="K55" s="19"/>
    </row>
    <row r="56" spans="1:14" ht="22.5" customHeight="1" x14ac:dyDescent="0.2">
      <c r="A56" s="22">
        <v>8</v>
      </c>
      <c r="B56" s="164" t="s">
        <v>43</v>
      </c>
      <c r="C56" s="165"/>
      <c r="D56" s="165"/>
      <c r="E56" s="165"/>
      <c r="F56" s="189"/>
      <c r="G56" s="26">
        <v>4</v>
      </c>
      <c r="H56" s="24">
        <v>65</v>
      </c>
      <c r="I56" s="24">
        <v>260</v>
      </c>
      <c r="J56" s="27">
        <v>140</v>
      </c>
      <c r="K56" s="19"/>
    </row>
    <row r="57" spans="1:14" ht="14.25" customHeight="1" x14ac:dyDescent="0.2">
      <c r="A57" s="22"/>
      <c r="B57" s="164"/>
      <c r="C57" s="165"/>
      <c r="D57" s="165"/>
      <c r="E57" s="165"/>
      <c r="F57" s="189"/>
      <c r="G57" s="26"/>
      <c r="H57" s="24"/>
      <c r="I57" s="24"/>
      <c r="J57" s="27"/>
      <c r="K57" s="19"/>
    </row>
    <row r="58" spans="1:14" ht="14.25" customHeight="1" x14ac:dyDescent="0.2">
      <c r="A58" s="22"/>
      <c r="B58" s="34"/>
      <c r="C58" s="34"/>
      <c r="D58" s="34"/>
      <c r="E58" s="34"/>
      <c r="F58" s="36"/>
      <c r="G58" s="26"/>
      <c r="H58" s="24"/>
      <c r="I58" s="24"/>
      <c r="J58" s="27"/>
      <c r="K58" s="19"/>
    </row>
    <row r="59" spans="1:14" ht="14.25" customHeight="1" x14ac:dyDescent="0.2">
      <c r="A59" s="22"/>
      <c r="B59" s="190" t="s">
        <v>51</v>
      </c>
      <c r="C59" s="165"/>
      <c r="D59" s="165"/>
      <c r="E59" s="165"/>
      <c r="F59" s="189"/>
      <c r="G59" s="26"/>
      <c r="H59" s="24"/>
      <c r="I59" s="24"/>
      <c r="J59" s="27"/>
      <c r="K59" s="19"/>
    </row>
    <row r="60" spans="1:14" ht="14.25" customHeight="1" x14ac:dyDescent="0.2">
      <c r="A60" s="22"/>
      <c r="B60" s="164"/>
      <c r="C60" s="165"/>
      <c r="D60" s="165"/>
      <c r="E60" s="165"/>
      <c r="F60" s="189"/>
      <c r="G60" s="26"/>
      <c r="H60" s="24"/>
      <c r="I60" s="24"/>
      <c r="J60" s="27"/>
      <c r="K60" s="19"/>
    </row>
    <row r="61" spans="1:14" ht="76.5" customHeight="1" x14ac:dyDescent="0.2">
      <c r="A61" s="22">
        <v>1</v>
      </c>
      <c r="B61" s="171" t="s">
        <v>158</v>
      </c>
      <c r="C61" s="165"/>
      <c r="D61" s="165"/>
      <c r="E61" s="165"/>
      <c r="F61" s="189"/>
      <c r="G61" s="26">
        <v>1</v>
      </c>
      <c r="H61" s="37">
        <v>4985</v>
      </c>
      <c r="I61" s="37">
        <v>4985</v>
      </c>
      <c r="J61" s="33">
        <v>4600</v>
      </c>
      <c r="K61" s="19"/>
    </row>
    <row r="62" spans="1:14" ht="26.25" customHeight="1" x14ac:dyDescent="0.2">
      <c r="A62" s="22">
        <v>2</v>
      </c>
      <c r="B62" s="164" t="s">
        <v>53</v>
      </c>
      <c r="C62" s="165"/>
      <c r="D62" s="165"/>
      <c r="E62" s="165"/>
      <c r="F62" s="189"/>
      <c r="G62" s="26">
        <v>1</v>
      </c>
      <c r="H62" s="24">
        <v>400</v>
      </c>
      <c r="I62" s="24">
        <v>400</v>
      </c>
      <c r="J62" s="27">
        <v>400</v>
      </c>
      <c r="K62" s="19"/>
      <c r="L62" s="38" t="s">
        <v>54</v>
      </c>
      <c r="M62" s="39" t="s">
        <v>55</v>
      </c>
      <c r="N62" s="40" t="s">
        <v>56</v>
      </c>
    </row>
    <row r="63" spans="1:14" ht="15" customHeight="1" x14ac:dyDescent="0.2">
      <c r="A63" s="22"/>
      <c r="B63" s="166"/>
      <c r="C63" s="165"/>
      <c r="D63" s="165"/>
      <c r="E63" s="165"/>
      <c r="F63" s="189"/>
      <c r="G63" s="26"/>
      <c r="H63" s="24"/>
      <c r="I63" s="24"/>
      <c r="J63" s="27"/>
      <c r="K63" s="19"/>
      <c r="L63" s="41">
        <f>I74</f>
        <v>4438</v>
      </c>
      <c r="M63" s="42">
        <f>SUM(J16:J68)</f>
        <v>33709</v>
      </c>
      <c r="N63" s="43">
        <f>L63-M63</f>
        <v>-29271</v>
      </c>
    </row>
    <row r="64" spans="1:14" ht="14.25" customHeight="1" x14ac:dyDescent="0.2">
      <c r="A64" s="22"/>
      <c r="B64" s="190" t="s">
        <v>57</v>
      </c>
      <c r="C64" s="165"/>
      <c r="D64" s="165"/>
      <c r="E64" s="165"/>
      <c r="F64" s="189"/>
      <c r="G64" s="26"/>
      <c r="H64" s="33"/>
      <c r="I64" s="44"/>
      <c r="J64" s="27"/>
      <c r="K64" s="19"/>
    </row>
    <row r="65" spans="1:26" ht="14.25" customHeight="1" x14ac:dyDescent="0.2">
      <c r="A65" s="22"/>
      <c r="B65" s="25"/>
      <c r="C65" s="35"/>
      <c r="D65" s="35"/>
      <c r="E65" s="35"/>
      <c r="F65" s="45"/>
      <c r="G65" s="26"/>
      <c r="H65" s="33"/>
      <c r="I65" s="44"/>
      <c r="J65" s="27"/>
      <c r="K65" s="19"/>
    </row>
    <row r="66" spans="1:26" ht="14.25" customHeight="1" x14ac:dyDescent="0.2">
      <c r="A66" s="22">
        <v>1</v>
      </c>
      <c r="B66" s="171" t="s">
        <v>58</v>
      </c>
      <c r="C66" s="165"/>
      <c r="D66" s="165"/>
      <c r="E66" s="165"/>
      <c r="F66" s="189"/>
      <c r="G66" s="26">
        <v>1</v>
      </c>
      <c r="H66" s="33">
        <v>800</v>
      </c>
      <c r="I66" s="44">
        <v>800</v>
      </c>
      <c r="J66" s="27">
        <v>400</v>
      </c>
      <c r="K66" s="19"/>
    </row>
    <row r="67" spans="1:26" ht="14.25" customHeight="1" x14ac:dyDescent="0.2">
      <c r="A67" s="22">
        <v>2</v>
      </c>
      <c r="B67" s="171" t="s">
        <v>59</v>
      </c>
      <c r="C67" s="165"/>
      <c r="D67" s="165"/>
      <c r="E67" s="165"/>
      <c r="F67" s="189"/>
      <c r="G67" s="26">
        <v>1</v>
      </c>
      <c r="H67" s="33">
        <v>300</v>
      </c>
      <c r="I67" s="44">
        <v>300</v>
      </c>
      <c r="J67" s="46">
        <v>150</v>
      </c>
      <c r="K67" s="27"/>
    </row>
    <row r="68" spans="1:26" ht="25.5" customHeight="1" x14ac:dyDescent="0.2">
      <c r="A68" s="22">
        <v>3</v>
      </c>
      <c r="B68" s="171" t="s">
        <v>170</v>
      </c>
      <c r="C68" s="165"/>
      <c r="D68" s="165"/>
      <c r="E68" s="165"/>
      <c r="F68" s="189"/>
      <c r="G68" s="26">
        <v>1</v>
      </c>
      <c r="H68" s="33">
        <v>200</v>
      </c>
      <c r="I68" s="44">
        <v>200</v>
      </c>
      <c r="J68" s="27">
        <v>100</v>
      </c>
      <c r="K68" s="19"/>
    </row>
    <row r="69" spans="1:26" ht="25.5" customHeight="1" x14ac:dyDescent="0.2">
      <c r="A69" s="47"/>
      <c r="B69" s="20"/>
      <c r="C69" s="20"/>
      <c r="D69" s="20"/>
      <c r="E69" s="20"/>
      <c r="F69" s="48"/>
      <c r="G69" s="49"/>
      <c r="H69" s="50"/>
      <c r="I69" s="51"/>
      <c r="J69" s="27"/>
      <c r="K69" s="19"/>
    </row>
    <row r="70" spans="1:26" ht="27.75" customHeight="1" x14ac:dyDescent="0.2">
      <c r="A70" s="52"/>
      <c r="B70" s="167" t="s">
        <v>61</v>
      </c>
      <c r="C70" s="168"/>
      <c r="D70" s="168"/>
      <c r="E70" s="168"/>
      <c r="F70" s="169"/>
      <c r="G70" s="170" t="s">
        <v>62</v>
      </c>
      <c r="H70" s="168"/>
      <c r="I70" s="95">
        <f>SUM(I15:I68)</f>
        <v>44380</v>
      </c>
      <c r="J70" s="54"/>
      <c r="K70" s="12" t="s">
        <v>63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24" hidden="1" customHeight="1" x14ac:dyDescent="0.2">
      <c r="A71" s="14"/>
      <c r="B71" s="7"/>
      <c r="C71" s="7"/>
      <c r="D71" s="7"/>
      <c r="E71" s="7"/>
      <c r="F71" s="7"/>
      <c r="G71" s="209" t="s">
        <v>62</v>
      </c>
      <c r="H71" s="181"/>
      <c r="I71" s="60"/>
      <c r="K71" s="12" t="s">
        <v>65</v>
      </c>
    </row>
    <row r="72" spans="1:26" ht="24" customHeight="1" x14ac:dyDescent="0.2">
      <c r="A72" s="14"/>
      <c r="B72" s="7"/>
      <c r="C72" s="7"/>
      <c r="D72" s="7"/>
      <c r="E72" s="170" t="s">
        <v>171</v>
      </c>
      <c r="F72" s="168"/>
      <c r="G72" s="210" t="s">
        <v>160</v>
      </c>
      <c r="H72" s="169"/>
      <c r="I72" s="97">
        <v>17752</v>
      </c>
      <c r="K72" s="12"/>
    </row>
    <row r="73" spans="1:26" ht="24" customHeight="1" x14ac:dyDescent="0.2">
      <c r="A73" s="14"/>
      <c r="B73" s="7"/>
      <c r="C73" s="7"/>
      <c r="D73" s="7"/>
      <c r="E73" s="170"/>
      <c r="F73" s="168"/>
      <c r="G73" s="211" t="s">
        <v>172</v>
      </c>
      <c r="H73" s="169"/>
      <c r="I73" s="98">
        <v>22190</v>
      </c>
      <c r="K73" s="12"/>
    </row>
    <row r="74" spans="1:26" ht="24" customHeight="1" x14ac:dyDescent="0.2">
      <c r="A74" s="14"/>
      <c r="B74" s="7"/>
      <c r="C74" s="7"/>
      <c r="D74" s="7"/>
      <c r="E74" s="99"/>
      <c r="F74" s="100"/>
      <c r="G74" s="162" t="s">
        <v>173</v>
      </c>
      <c r="H74" s="163"/>
      <c r="I74" s="55">
        <f>I70-I72-I73</f>
        <v>4438</v>
      </c>
    </row>
    <row r="75" spans="1:26" ht="24" customHeight="1" x14ac:dyDescent="0.2">
      <c r="A75" s="14"/>
      <c r="B75" s="7"/>
      <c r="C75" s="7"/>
      <c r="D75" s="7"/>
      <c r="E75" s="7"/>
      <c r="F75" s="7"/>
      <c r="G75" s="56"/>
      <c r="H75" s="56"/>
      <c r="I75" s="57"/>
    </row>
    <row r="76" spans="1:26" ht="14.25" customHeight="1" x14ac:dyDescent="0.2">
      <c r="A76" s="14"/>
      <c r="B76" s="171" t="s">
        <v>162</v>
      </c>
      <c r="C76" s="165"/>
      <c r="D76" s="165"/>
      <c r="E76" s="165"/>
      <c r="F76" s="165"/>
      <c r="G76" s="165"/>
      <c r="H76" s="165"/>
      <c r="I76" s="165"/>
      <c r="K76" s="12" t="s">
        <v>68</v>
      </c>
    </row>
    <row r="77" spans="1:26" ht="14.25" customHeight="1" x14ac:dyDescent="0.2">
      <c r="A77" s="14"/>
      <c r="B77" s="165"/>
      <c r="C77" s="165"/>
      <c r="D77" s="165"/>
      <c r="E77" s="165"/>
      <c r="F77" s="165"/>
      <c r="G77" s="165"/>
      <c r="H77" s="165"/>
      <c r="I77" s="165"/>
      <c r="K77" s="12"/>
    </row>
    <row r="78" spans="1:26" ht="14.25" customHeight="1" x14ac:dyDescent="0.2">
      <c r="A78" s="14"/>
      <c r="B78" s="46" t="s">
        <v>69</v>
      </c>
    </row>
    <row r="79" spans="1:26" ht="14.25" customHeight="1" x14ac:dyDescent="0.2">
      <c r="A79" s="14"/>
      <c r="B79" s="20"/>
      <c r="C79" s="20"/>
      <c r="D79" s="20"/>
      <c r="E79" s="20"/>
      <c r="F79" s="20"/>
      <c r="G79" s="20"/>
      <c r="H79" s="20"/>
      <c r="I79" s="20"/>
    </row>
    <row r="80" spans="1:26" ht="14.25" customHeight="1" x14ac:dyDescent="0.2">
      <c r="A80" s="14"/>
      <c r="B80" s="58"/>
    </row>
    <row r="81" spans="1:11" ht="116.25" customHeight="1" x14ac:dyDescent="0.2">
      <c r="A81" s="14"/>
      <c r="B81" s="7"/>
      <c r="C81" s="7"/>
      <c r="D81" s="7"/>
      <c r="E81" s="7"/>
      <c r="F81" s="7"/>
      <c r="G81" s="164" t="s">
        <v>70</v>
      </c>
      <c r="H81" s="165"/>
      <c r="I81" s="165"/>
    </row>
    <row r="82" spans="1:11" ht="14.25" customHeight="1" x14ac:dyDescent="0.2">
      <c r="A82" s="14"/>
      <c r="B82" s="7"/>
      <c r="C82" s="7"/>
      <c r="D82" s="7"/>
      <c r="E82" s="7"/>
      <c r="F82" s="7"/>
      <c r="G82" s="165"/>
      <c r="H82" s="165"/>
      <c r="I82" s="165"/>
      <c r="K82" s="12" t="s">
        <v>71</v>
      </c>
    </row>
    <row r="83" spans="1:11" ht="14.25" customHeight="1" x14ac:dyDescent="0.2">
      <c r="A83" s="14"/>
      <c r="B83" s="59"/>
      <c r="C83" s="59"/>
      <c r="D83" s="59"/>
      <c r="E83" s="59"/>
      <c r="F83" s="59"/>
      <c r="G83" s="59"/>
      <c r="H83" s="59"/>
      <c r="I83" s="59"/>
      <c r="K83" s="12"/>
    </row>
    <row r="84" spans="1:11" ht="14.25" customHeight="1" x14ac:dyDescent="0.2">
      <c r="A84" s="14"/>
    </row>
    <row r="85" spans="1:11" ht="14.25" customHeight="1" x14ac:dyDescent="0.2">
      <c r="A85" s="14"/>
    </row>
    <row r="86" spans="1:11" ht="14.25" customHeight="1" x14ac:dyDescent="0.2">
      <c r="A86" s="14"/>
    </row>
    <row r="87" spans="1:11" ht="14.25" customHeight="1" x14ac:dyDescent="0.2">
      <c r="A87" s="14"/>
    </row>
    <row r="88" spans="1:11" ht="14.25" customHeight="1" x14ac:dyDescent="0.2">
      <c r="A88" s="14"/>
    </row>
    <row r="89" spans="1:11" ht="14.25" customHeight="1" x14ac:dyDescent="0.2">
      <c r="A89" s="14"/>
    </row>
    <row r="90" spans="1:11" ht="14.25" customHeight="1" x14ac:dyDescent="0.2">
      <c r="A90" s="14"/>
    </row>
    <row r="91" spans="1:11" ht="14.25" customHeight="1" x14ac:dyDescent="0.2">
      <c r="A91" s="14"/>
    </row>
    <row r="92" spans="1:11" ht="14.25" customHeight="1" x14ac:dyDescent="0.2">
      <c r="A92" s="14"/>
    </row>
    <row r="93" spans="1:11" ht="14.25" customHeight="1" x14ac:dyDescent="0.2">
      <c r="A93" s="14"/>
    </row>
    <row r="94" spans="1:11" ht="14.25" customHeight="1" x14ac:dyDescent="0.2">
      <c r="A94" s="14"/>
    </row>
    <row r="95" spans="1:11" ht="14.25" customHeight="1" x14ac:dyDescent="0.2">
      <c r="A95" s="14"/>
    </row>
    <row r="96" spans="1:1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71">
    <mergeCell ref="B50:F50"/>
    <mergeCell ref="B51:F51"/>
    <mergeCell ref="B52:F52"/>
    <mergeCell ref="B53:F53"/>
    <mergeCell ref="B54:F54"/>
    <mergeCell ref="B55:F55"/>
    <mergeCell ref="B56:F56"/>
    <mergeCell ref="B57:F57"/>
    <mergeCell ref="B59:F59"/>
    <mergeCell ref="B60:F60"/>
    <mergeCell ref="B61:F61"/>
    <mergeCell ref="B62:F62"/>
    <mergeCell ref="B63:F63"/>
    <mergeCell ref="B64:F64"/>
    <mergeCell ref="E72:F72"/>
    <mergeCell ref="B66:F66"/>
    <mergeCell ref="B67:F67"/>
    <mergeCell ref="B68:F68"/>
    <mergeCell ref="B70:F70"/>
    <mergeCell ref="E73:F73"/>
    <mergeCell ref="G73:H73"/>
    <mergeCell ref="G74:H74"/>
    <mergeCell ref="B76:I77"/>
    <mergeCell ref="G81:I82"/>
    <mergeCell ref="G70:H70"/>
    <mergeCell ref="G71:H71"/>
    <mergeCell ref="G72:H72"/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9:F49"/>
    <mergeCell ref="B42:F42"/>
    <mergeCell ref="B45:F45"/>
    <mergeCell ref="B46:F46"/>
    <mergeCell ref="B47:F47"/>
    <mergeCell ref="B48:F48"/>
  </mergeCells>
  <hyperlinks>
    <hyperlink ref="K3" r:id="rId1" xr:uid="{00000000-0004-0000-09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148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149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2639</v>
      </c>
      <c r="H5" s="182"/>
      <c r="I5" s="11">
        <v>45736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0"/>
      <c r="H6" s="181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174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175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21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11" ht="14.25" customHeight="1" x14ac:dyDescent="0.2">
      <c r="A17" s="22"/>
      <c r="B17" s="28"/>
      <c r="C17" s="28"/>
      <c r="D17" s="28"/>
      <c r="E17" s="28"/>
      <c r="F17" s="29"/>
      <c r="G17" s="26"/>
      <c r="H17" s="24"/>
      <c r="I17" s="24"/>
      <c r="J17" s="27"/>
      <c r="K17" s="19"/>
    </row>
    <row r="18" spans="1:11" ht="14.25" customHeight="1" x14ac:dyDescent="0.2">
      <c r="A18" s="22"/>
      <c r="B18" s="192" t="s">
        <v>22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11" ht="14.25" customHeight="1" x14ac:dyDescent="0.2">
      <c r="A19" s="22"/>
      <c r="B19" s="30"/>
      <c r="C19" s="30"/>
      <c r="D19" s="30"/>
      <c r="E19" s="30"/>
      <c r="F19" s="31"/>
      <c r="G19" s="26"/>
      <c r="H19" s="24"/>
      <c r="I19" s="24"/>
      <c r="J19" s="27"/>
      <c r="K19" s="19"/>
    </row>
    <row r="20" spans="1:11" ht="39" customHeight="1" x14ac:dyDescent="0.2">
      <c r="A20" s="22">
        <v>1</v>
      </c>
      <c r="B20" s="171" t="s">
        <v>176</v>
      </c>
      <c r="C20" s="165"/>
      <c r="D20" s="165"/>
      <c r="E20" s="165"/>
      <c r="F20" s="189"/>
      <c r="G20" s="32">
        <v>1</v>
      </c>
      <c r="H20" s="33">
        <v>290</v>
      </c>
      <c r="I20" s="33">
        <v>290</v>
      </c>
      <c r="J20" s="27">
        <v>150</v>
      </c>
      <c r="K20" s="19"/>
    </row>
    <row r="21" spans="1:11" ht="14.25" customHeight="1" x14ac:dyDescent="0.2">
      <c r="A21" s="22">
        <v>2</v>
      </c>
      <c r="B21" s="171" t="s">
        <v>24</v>
      </c>
      <c r="C21" s="165"/>
      <c r="D21" s="165"/>
      <c r="E21" s="165"/>
      <c r="F21" s="189"/>
      <c r="G21" s="32">
        <v>1</v>
      </c>
      <c r="H21" s="33">
        <v>480</v>
      </c>
      <c r="I21" s="33">
        <v>480</v>
      </c>
      <c r="J21" s="27">
        <v>290</v>
      </c>
      <c r="K21" s="19"/>
    </row>
    <row r="22" spans="1:11" ht="14.25" customHeight="1" x14ac:dyDescent="0.2">
      <c r="A22" s="22">
        <v>3</v>
      </c>
      <c r="B22" s="171" t="s">
        <v>25</v>
      </c>
      <c r="C22" s="165"/>
      <c r="D22" s="165"/>
      <c r="E22" s="165"/>
      <c r="F22" s="189"/>
      <c r="G22" s="32">
        <v>1</v>
      </c>
      <c r="H22" s="33">
        <v>490</v>
      </c>
      <c r="I22" s="33">
        <v>490</v>
      </c>
      <c r="J22" s="27">
        <v>250</v>
      </c>
      <c r="K22" s="19" t="s">
        <v>26</v>
      </c>
    </row>
    <row r="23" spans="1:11" ht="14.25" customHeight="1" x14ac:dyDescent="0.2">
      <c r="A23" s="22">
        <v>4</v>
      </c>
      <c r="B23" s="171" t="s">
        <v>27</v>
      </c>
      <c r="C23" s="165"/>
      <c r="D23" s="165"/>
      <c r="E23" s="165"/>
      <c r="F23" s="189"/>
      <c r="G23" s="32">
        <v>5</v>
      </c>
      <c r="H23" s="33">
        <v>190</v>
      </c>
      <c r="I23" s="33">
        <v>950</v>
      </c>
      <c r="J23" s="27">
        <v>400</v>
      </c>
      <c r="K23" s="19"/>
    </row>
    <row r="24" spans="1:11" ht="39.75" customHeight="1" x14ac:dyDescent="0.2">
      <c r="A24" s="22">
        <v>5</v>
      </c>
      <c r="B24" s="171" t="s">
        <v>177</v>
      </c>
      <c r="C24" s="165"/>
      <c r="D24" s="165"/>
      <c r="E24" s="165"/>
      <c r="F24" s="189"/>
      <c r="G24" s="32">
        <v>1</v>
      </c>
      <c r="H24" s="33">
        <v>290</v>
      </c>
      <c r="I24" s="33">
        <v>290</v>
      </c>
      <c r="J24" s="27">
        <v>150</v>
      </c>
      <c r="K24" s="19"/>
    </row>
    <row r="25" spans="1:11" ht="14.25" customHeight="1" x14ac:dyDescent="0.2">
      <c r="A25" s="22">
        <v>6</v>
      </c>
      <c r="B25" s="164" t="s">
        <v>29</v>
      </c>
      <c r="C25" s="165"/>
      <c r="D25" s="165"/>
      <c r="E25" s="165"/>
      <c r="F25" s="189"/>
      <c r="G25" s="26">
        <v>1</v>
      </c>
      <c r="H25" s="24">
        <v>150</v>
      </c>
      <c r="I25" s="24">
        <v>150</v>
      </c>
      <c r="J25" s="27">
        <v>100</v>
      </c>
      <c r="K25" s="19"/>
    </row>
    <row r="26" spans="1:11" ht="14.25" customHeight="1" x14ac:dyDescent="0.2">
      <c r="A26" s="22">
        <v>7</v>
      </c>
      <c r="B26" s="164" t="s">
        <v>30</v>
      </c>
      <c r="C26" s="165"/>
      <c r="D26" s="165"/>
      <c r="E26" s="165"/>
      <c r="F26" s="189"/>
      <c r="G26" s="26">
        <v>1</v>
      </c>
      <c r="H26" s="24">
        <v>429</v>
      </c>
      <c r="I26" s="24">
        <v>429</v>
      </c>
      <c r="J26" s="27">
        <v>325</v>
      </c>
      <c r="K26" s="19"/>
    </row>
    <row r="27" spans="1:11" ht="14.25" customHeight="1" x14ac:dyDescent="0.2">
      <c r="A27" s="22">
        <v>8</v>
      </c>
      <c r="B27" s="164" t="s">
        <v>31</v>
      </c>
      <c r="C27" s="165"/>
      <c r="D27" s="165"/>
      <c r="E27" s="165"/>
      <c r="F27" s="189"/>
      <c r="G27" s="26">
        <v>1</v>
      </c>
      <c r="H27" s="24">
        <v>480</v>
      </c>
      <c r="I27" s="24">
        <v>480</v>
      </c>
      <c r="J27" s="27">
        <v>240</v>
      </c>
      <c r="K27" s="19"/>
    </row>
    <row r="28" spans="1:11" ht="14.25" customHeight="1" x14ac:dyDescent="0.2">
      <c r="A28" s="22">
        <v>9</v>
      </c>
      <c r="B28" s="164" t="s">
        <v>32</v>
      </c>
      <c r="C28" s="165"/>
      <c r="D28" s="165"/>
      <c r="E28" s="165"/>
      <c r="F28" s="189"/>
      <c r="G28" s="26">
        <v>1</v>
      </c>
      <c r="H28" s="24">
        <v>659</v>
      </c>
      <c r="I28" s="24">
        <v>659</v>
      </c>
      <c r="J28" s="27">
        <v>455</v>
      </c>
      <c r="K28" s="19"/>
    </row>
    <row r="29" spans="1:11" ht="14.25" customHeight="1" x14ac:dyDescent="0.2">
      <c r="A29" s="22">
        <v>10</v>
      </c>
      <c r="B29" s="164" t="s">
        <v>33</v>
      </c>
      <c r="C29" s="165"/>
      <c r="D29" s="165"/>
      <c r="E29" s="165"/>
      <c r="F29" s="189"/>
      <c r="G29" s="26">
        <v>1</v>
      </c>
      <c r="H29" s="24">
        <v>349</v>
      </c>
      <c r="I29" s="24">
        <v>349</v>
      </c>
      <c r="J29" s="27">
        <v>295</v>
      </c>
      <c r="K29" s="19"/>
    </row>
    <row r="30" spans="1:11" ht="14.25" customHeight="1" x14ac:dyDescent="0.2">
      <c r="A30" s="22">
        <v>11</v>
      </c>
      <c r="B30" s="164" t="s">
        <v>34</v>
      </c>
      <c r="C30" s="165"/>
      <c r="D30" s="165"/>
      <c r="E30" s="165"/>
      <c r="F30" s="189"/>
      <c r="G30" s="26">
        <v>1</v>
      </c>
      <c r="H30" s="24">
        <v>599</v>
      </c>
      <c r="I30" s="24">
        <v>599</v>
      </c>
      <c r="J30" s="27">
        <v>459</v>
      </c>
      <c r="K30" s="19"/>
    </row>
    <row r="31" spans="1:11" ht="27.75" customHeight="1" x14ac:dyDescent="0.2">
      <c r="A31" s="22">
        <v>12</v>
      </c>
      <c r="B31" s="164" t="s">
        <v>35</v>
      </c>
      <c r="C31" s="165"/>
      <c r="D31" s="165"/>
      <c r="E31" s="165"/>
      <c r="F31" s="189"/>
      <c r="G31" s="26">
        <v>1</v>
      </c>
      <c r="H31" s="24">
        <v>299</v>
      </c>
      <c r="I31" s="24">
        <v>299</v>
      </c>
      <c r="J31" s="27">
        <v>130</v>
      </c>
      <c r="K31" s="19"/>
    </row>
    <row r="32" spans="1:11" ht="14.25" customHeight="1" x14ac:dyDescent="0.2">
      <c r="A32" s="22">
        <v>13</v>
      </c>
      <c r="B32" s="164" t="s">
        <v>36</v>
      </c>
      <c r="C32" s="165"/>
      <c r="D32" s="165"/>
      <c r="E32" s="165"/>
      <c r="F32" s="189"/>
      <c r="G32" s="26">
        <v>1</v>
      </c>
      <c r="H32" s="24">
        <v>99</v>
      </c>
      <c r="I32" s="24">
        <v>99</v>
      </c>
      <c r="J32" s="27">
        <v>60</v>
      </c>
      <c r="K32" s="19"/>
    </row>
    <row r="33" spans="1:11" ht="14.25" customHeight="1" x14ac:dyDescent="0.2">
      <c r="A33" s="22">
        <v>14</v>
      </c>
      <c r="B33" s="164" t="s">
        <v>37</v>
      </c>
      <c r="C33" s="165"/>
      <c r="D33" s="165"/>
      <c r="E33" s="165"/>
      <c r="F33" s="189"/>
      <c r="G33" s="26">
        <v>1</v>
      </c>
      <c r="H33" s="24">
        <v>289</v>
      </c>
      <c r="I33" s="24">
        <v>289</v>
      </c>
      <c r="J33" s="27">
        <v>189</v>
      </c>
      <c r="K33" s="19"/>
    </row>
    <row r="34" spans="1:11" ht="14.25" customHeight="1" x14ac:dyDescent="0.2">
      <c r="A34" s="22">
        <v>15</v>
      </c>
      <c r="B34" s="164" t="s">
        <v>38</v>
      </c>
      <c r="C34" s="165"/>
      <c r="D34" s="165"/>
      <c r="E34" s="165"/>
      <c r="F34" s="189"/>
      <c r="G34" s="26">
        <v>1</v>
      </c>
      <c r="H34" s="24">
        <v>400</v>
      </c>
      <c r="I34" s="24">
        <v>400</v>
      </c>
      <c r="J34" s="27">
        <v>200</v>
      </c>
      <c r="K34" s="19"/>
    </row>
    <row r="35" spans="1:11" ht="14.25" customHeight="1" x14ac:dyDescent="0.2">
      <c r="A35" s="22"/>
      <c r="B35" s="164"/>
      <c r="C35" s="165"/>
      <c r="D35" s="165"/>
      <c r="E35" s="165"/>
      <c r="F35" s="189"/>
      <c r="G35" s="26"/>
      <c r="H35" s="24"/>
      <c r="I35" s="24"/>
      <c r="J35" s="27"/>
      <c r="K35" s="19"/>
    </row>
    <row r="36" spans="1:11" ht="14.25" customHeight="1" x14ac:dyDescent="0.2">
      <c r="A36" s="22"/>
      <c r="B36" s="164"/>
      <c r="C36" s="165"/>
      <c r="D36" s="165"/>
      <c r="E36" s="165"/>
      <c r="F36" s="189"/>
      <c r="G36" s="26"/>
      <c r="H36" s="24"/>
      <c r="I36" s="24"/>
      <c r="J36" s="27"/>
      <c r="K36" s="19"/>
    </row>
    <row r="37" spans="1:11" ht="14.25" customHeight="1" x14ac:dyDescent="0.2">
      <c r="A37" s="22"/>
      <c r="B37" s="190" t="s">
        <v>39</v>
      </c>
      <c r="C37" s="165"/>
      <c r="D37" s="165"/>
      <c r="E37" s="165"/>
      <c r="F37" s="189"/>
      <c r="G37" s="26"/>
      <c r="H37" s="24"/>
      <c r="I37" s="24"/>
      <c r="J37" s="27"/>
      <c r="K37" s="19"/>
    </row>
    <row r="38" spans="1:11" ht="14.25" customHeight="1" x14ac:dyDescent="0.2">
      <c r="A38" s="22"/>
      <c r="B38" s="166"/>
      <c r="C38" s="165"/>
      <c r="D38" s="165"/>
      <c r="E38" s="165"/>
      <c r="F38" s="189"/>
      <c r="G38" s="26"/>
      <c r="H38" s="24"/>
      <c r="I38" s="24"/>
      <c r="J38" s="27"/>
      <c r="K38" s="19"/>
    </row>
    <row r="39" spans="1:11" ht="14.25" customHeight="1" x14ac:dyDescent="0.2">
      <c r="A39" s="22">
        <v>1</v>
      </c>
      <c r="B39" s="171" t="s">
        <v>76</v>
      </c>
      <c r="C39" s="165"/>
      <c r="D39" s="165"/>
      <c r="E39" s="165"/>
      <c r="F39" s="189"/>
      <c r="G39" s="26">
        <v>3</v>
      </c>
      <c r="H39" s="24">
        <v>3399</v>
      </c>
      <c r="I39" s="24">
        <f>SUM(H39*G39)</f>
        <v>10197</v>
      </c>
      <c r="J39" s="27">
        <v>7650</v>
      </c>
      <c r="K39" s="19">
        <v>3299</v>
      </c>
    </row>
    <row r="40" spans="1:11" ht="14.25" customHeight="1" x14ac:dyDescent="0.2">
      <c r="A40" s="22">
        <v>2</v>
      </c>
      <c r="B40" s="164" t="s">
        <v>41</v>
      </c>
      <c r="C40" s="165"/>
      <c r="D40" s="165"/>
      <c r="E40" s="165"/>
      <c r="F40" s="189"/>
      <c r="G40" s="26">
        <v>1</v>
      </c>
      <c r="H40" s="24">
        <v>450</v>
      </c>
      <c r="I40" s="24">
        <v>450</v>
      </c>
      <c r="J40" s="27">
        <v>240</v>
      </c>
      <c r="K40" s="19"/>
    </row>
    <row r="41" spans="1:11" ht="14.25" customHeight="1" x14ac:dyDescent="0.2">
      <c r="A41" s="22">
        <v>3</v>
      </c>
      <c r="B41" s="171" t="s">
        <v>42</v>
      </c>
      <c r="C41" s="165"/>
      <c r="D41" s="165"/>
      <c r="E41" s="165"/>
      <c r="F41" s="189"/>
      <c r="G41" s="26">
        <v>3</v>
      </c>
      <c r="H41" s="24">
        <v>400</v>
      </c>
      <c r="I41" s="24">
        <v>1200</v>
      </c>
      <c r="J41" s="27">
        <v>600</v>
      </c>
      <c r="K41" s="19"/>
    </row>
    <row r="42" spans="1:11" ht="24" customHeight="1" x14ac:dyDescent="0.2">
      <c r="A42" s="22">
        <v>4</v>
      </c>
      <c r="B42" s="164" t="s">
        <v>43</v>
      </c>
      <c r="C42" s="165"/>
      <c r="D42" s="165"/>
      <c r="E42" s="165"/>
      <c r="F42" s="189"/>
      <c r="G42" s="26">
        <v>4</v>
      </c>
      <c r="H42" s="24">
        <v>65</v>
      </c>
      <c r="I42" s="24">
        <v>260</v>
      </c>
      <c r="J42" s="27">
        <v>140</v>
      </c>
      <c r="K42" s="19"/>
    </row>
    <row r="43" spans="1:11" ht="14.25" customHeight="1" x14ac:dyDescent="0.2">
      <c r="A43" s="22"/>
      <c r="B43" s="34"/>
      <c r="C43" s="34"/>
      <c r="D43" s="34"/>
      <c r="E43" s="34"/>
      <c r="F43" s="36"/>
      <c r="G43" s="26"/>
      <c r="H43" s="24"/>
      <c r="I43" s="24"/>
      <c r="J43" s="27"/>
      <c r="K43" s="19"/>
    </row>
    <row r="44" spans="1:11" ht="14.25" customHeight="1" x14ac:dyDescent="0.2">
      <c r="A44" s="22"/>
      <c r="B44" s="34"/>
      <c r="C44" s="34"/>
      <c r="D44" s="34"/>
      <c r="E44" s="34"/>
      <c r="F44" s="36"/>
      <c r="G44" s="26"/>
      <c r="H44" s="24"/>
      <c r="I44" s="24"/>
      <c r="J44" s="27"/>
      <c r="K44" s="19"/>
    </row>
    <row r="45" spans="1:11" ht="14.25" customHeight="1" x14ac:dyDescent="0.2">
      <c r="A45" s="21" t="s">
        <v>16</v>
      </c>
      <c r="B45" s="188" t="s">
        <v>17</v>
      </c>
      <c r="C45" s="168"/>
      <c r="D45" s="168"/>
      <c r="E45" s="168"/>
      <c r="F45" s="169"/>
      <c r="G45" s="10" t="s">
        <v>18</v>
      </c>
      <c r="H45" s="10" t="s">
        <v>19</v>
      </c>
      <c r="I45" s="10" t="s">
        <v>20</v>
      </c>
      <c r="J45" s="27"/>
      <c r="K45" s="19"/>
    </row>
    <row r="46" spans="1:11" ht="14.25" customHeight="1" x14ac:dyDescent="0.2">
      <c r="A46" s="22"/>
      <c r="B46" s="164"/>
      <c r="C46" s="165"/>
      <c r="D46" s="165"/>
      <c r="E46" s="165"/>
      <c r="F46" s="189"/>
      <c r="G46" s="26"/>
      <c r="H46" s="24"/>
      <c r="I46" s="24"/>
      <c r="J46" s="27"/>
      <c r="K46" s="19"/>
    </row>
    <row r="47" spans="1:11" ht="14.25" customHeight="1" x14ac:dyDescent="0.2">
      <c r="A47" s="22"/>
      <c r="B47" s="190" t="s">
        <v>44</v>
      </c>
      <c r="C47" s="165"/>
      <c r="D47" s="165"/>
      <c r="E47" s="165"/>
      <c r="F47" s="189"/>
      <c r="G47" s="26"/>
      <c r="H47" s="24"/>
      <c r="I47" s="24"/>
      <c r="J47" s="27"/>
      <c r="K47" s="19"/>
    </row>
    <row r="48" spans="1:11" ht="14.25" customHeight="1" x14ac:dyDescent="0.2">
      <c r="A48" s="22"/>
      <c r="B48" s="164"/>
      <c r="C48" s="165"/>
      <c r="D48" s="165"/>
      <c r="E48" s="165"/>
      <c r="F48" s="189"/>
      <c r="G48" s="26"/>
      <c r="H48" s="24"/>
      <c r="I48" s="24"/>
      <c r="J48" s="27"/>
      <c r="K48" s="19"/>
    </row>
    <row r="49" spans="1:14" ht="14.25" customHeight="1" x14ac:dyDescent="0.2">
      <c r="A49" s="22">
        <v>1</v>
      </c>
      <c r="B49" s="164" t="s">
        <v>154</v>
      </c>
      <c r="C49" s="165"/>
      <c r="D49" s="165"/>
      <c r="E49" s="165"/>
      <c r="F49" s="189"/>
      <c r="G49" s="26">
        <v>1</v>
      </c>
      <c r="H49" s="24">
        <v>3599</v>
      </c>
      <c r="I49" s="24">
        <v>3599</v>
      </c>
      <c r="J49" s="27">
        <v>2996</v>
      </c>
      <c r="K49" s="19"/>
    </row>
    <row r="50" spans="1:14" ht="14.25" customHeight="1" x14ac:dyDescent="0.2">
      <c r="A50" s="22">
        <v>2</v>
      </c>
      <c r="B50" s="164" t="s">
        <v>46</v>
      </c>
      <c r="C50" s="165"/>
      <c r="D50" s="165"/>
      <c r="E50" s="165"/>
      <c r="F50" s="189"/>
      <c r="G50" s="26">
        <v>1</v>
      </c>
      <c r="H50" s="24">
        <v>859</v>
      </c>
      <c r="I50" s="24">
        <v>859</v>
      </c>
      <c r="J50" s="27">
        <v>500</v>
      </c>
      <c r="K50" s="19"/>
    </row>
    <row r="51" spans="1:14" ht="28.5" customHeight="1" x14ac:dyDescent="0.2">
      <c r="A51" s="22">
        <v>3</v>
      </c>
      <c r="B51" s="164" t="s">
        <v>178</v>
      </c>
      <c r="C51" s="165"/>
      <c r="D51" s="165"/>
      <c r="E51" s="165"/>
      <c r="F51" s="189"/>
      <c r="G51" s="26">
        <v>1</v>
      </c>
      <c r="H51" s="24">
        <v>350</v>
      </c>
      <c r="I51" s="24">
        <v>350</v>
      </c>
      <c r="J51" s="27">
        <v>150</v>
      </c>
      <c r="K51" s="19"/>
    </row>
    <row r="52" spans="1:14" ht="37.5" customHeight="1" x14ac:dyDescent="0.2">
      <c r="A52" s="22">
        <v>4</v>
      </c>
      <c r="B52" s="164" t="s">
        <v>179</v>
      </c>
      <c r="C52" s="165"/>
      <c r="D52" s="165"/>
      <c r="E52" s="165"/>
      <c r="F52" s="189"/>
      <c r="G52" s="26">
        <v>1</v>
      </c>
      <c r="H52" s="24">
        <v>150</v>
      </c>
      <c r="I52" s="24">
        <v>150</v>
      </c>
      <c r="J52" s="27">
        <v>100</v>
      </c>
      <c r="K52" s="19"/>
    </row>
    <row r="53" spans="1:14" ht="14.25" customHeight="1" x14ac:dyDescent="0.2">
      <c r="A53" s="22">
        <v>5</v>
      </c>
      <c r="B53" s="164" t="s">
        <v>49</v>
      </c>
      <c r="C53" s="165"/>
      <c r="D53" s="165"/>
      <c r="E53" s="165"/>
      <c r="F53" s="189"/>
      <c r="G53" s="26">
        <v>1</v>
      </c>
      <c r="H53" s="24">
        <v>200</v>
      </c>
      <c r="I53" s="24">
        <v>200</v>
      </c>
      <c r="J53" s="27">
        <v>100</v>
      </c>
      <c r="K53" s="19"/>
    </row>
    <row r="54" spans="1:14" ht="14.25" customHeight="1" x14ac:dyDescent="0.2">
      <c r="A54" s="22">
        <v>6</v>
      </c>
      <c r="B54" s="164" t="s">
        <v>40</v>
      </c>
      <c r="C54" s="165"/>
      <c r="D54" s="165"/>
      <c r="E54" s="165"/>
      <c r="F54" s="189"/>
      <c r="G54" s="26">
        <v>3</v>
      </c>
      <c r="H54" s="24">
        <v>4599</v>
      </c>
      <c r="I54" s="24">
        <f>SUM(H54*G54)</f>
        <v>13797</v>
      </c>
      <c r="J54" s="27">
        <v>11700</v>
      </c>
      <c r="K54" s="19">
        <v>4559</v>
      </c>
    </row>
    <row r="55" spans="1:14" ht="26.25" customHeight="1" x14ac:dyDescent="0.2">
      <c r="A55" s="22">
        <v>7</v>
      </c>
      <c r="B55" s="164" t="s">
        <v>180</v>
      </c>
      <c r="C55" s="165"/>
      <c r="D55" s="165"/>
      <c r="E55" s="165"/>
      <c r="F55" s="189"/>
      <c r="G55" s="26">
        <v>2</v>
      </c>
      <c r="H55" s="24">
        <v>60</v>
      </c>
      <c r="I55" s="24">
        <v>120</v>
      </c>
      <c r="J55" s="27">
        <v>50</v>
      </c>
      <c r="K55" s="19"/>
    </row>
    <row r="56" spans="1:14" ht="22.5" customHeight="1" x14ac:dyDescent="0.2">
      <c r="A56" s="22">
        <v>8</v>
      </c>
      <c r="B56" s="164" t="s">
        <v>43</v>
      </c>
      <c r="C56" s="165"/>
      <c r="D56" s="165"/>
      <c r="E56" s="165"/>
      <c r="F56" s="189"/>
      <c r="G56" s="26">
        <v>4</v>
      </c>
      <c r="H56" s="24">
        <v>65</v>
      </c>
      <c r="I56" s="24">
        <v>260</v>
      </c>
      <c r="J56" s="27">
        <v>140</v>
      </c>
      <c r="K56" s="19"/>
    </row>
    <row r="57" spans="1:14" ht="14.25" customHeight="1" x14ac:dyDescent="0.2">
      <c r="A57" s="22"/>
      <c r="B57" s="164"/>
      <c r="C57" s="165"/>
      <c r="D57" s="165"/>
      <c r="E57" s="165"/>
      <c r="F57" s="189"/>
      <c r="G57" s="26"/>
      <c r="H57" s="24"/>
      <c r="I57" s="24"/>
      <c r="J57" s="27"/>
      <c r="K57" s="19"/>
    </row>
    <row r="58" spans="1:14" ht="14.25" customHeight="1" x14ac:dyDescent="0.2">
      <c r="A58" s="22"/>
      <c r="B58" s="34"/>
      <c r="C58" s="34"/>
      <c r="D58" s="34"/>
      <c r="E58" s="34"/>
      <c r="F58" s="36"/>
      <c r="G58" s="26"/>
      <c r="H58" s="24"/>
      <c r="I58" s="24"/>
      <c r="J58" s="27"/>
      <c r="K58" s="19"/>
    </row>
    <row r="59" spans="1:14" ht="14.25" customHeight="1" x14ac:dyDescent="0.2">
      <c r="A59" s="22"/>
      <c r="B59" s="190" t="s">
        <v>51</v>
      </c>
      <c r="C59" s="165"/>
      <c r="D59" s="165"/>
      <c r="E59" s="165"/>
      <c r="F59" s="189"/>
      <c r="G59" s="26"/>
      <c r="H59" s="24"/>
      <c r="I59" s="24"/>
      <c r="J59" s="27"/>
      <c r="K59" s="19"/>
    </row>
    <row r="60" spans="1:14" ht="14.25" customHeight="1" x14ac:dyDescent="0.2">
      <c r="A60" s="22"/>
      <c r="B60" s="164"/>
      <c r="C60" s="165"/>
      <c r="D60" s="165"/>
      <c r="E60" s="165"/>
      <c r="F60" s="189"/>
      <c r="G60" s="26"/>
      <c r="H60" s="24"/>
      <c r="I60" s="24"/>
      <c r="J60" s="27"/>
      <c r="K60" s="19"/>
    </row>
    <row r="61" spans="1:14" ht="76.5" customHeight="1" x14ac:dyDescent="0.2">
      <c r="A61" s="22">
        <v>1</v>
      </c>
      <c r="B61" s="171" t="s">
        <v>158</v>
      </c>
      <c r="C61" s="165"/>
      <c r="D61" s="165"/>
      <c r="E61" s="165"/>
      <c r="F61" s="189"/>
      <c r="G61" s="26">
        <v>1</v>
      </c>
      <c r="H61" s="37">
        <v>4985</v>
      </c>
      <c r="I61" s="37">
        <v>4985</v>
      </c>
      <c r="J61" s="33">
        <v>4600</v>
      </c>
      <c r="K61" s="19"/>
    </row>
    <row r="62" spans="1:14" ht="26.25" customHeight="1" x14ac:dyDescent="0.2">
      <c r="A62" s="22">
        <v>2</v>
      </c>
      <c r="B62" s="164" t="s">
        <v>53</v>
      </c>
      <c r="C62" s="165"/>
      <c r="D62" s="165"/>
      <c r="E62" s="165"/>
      <c r="F62" s="189"/>
      <c r="G62" s="26">
        <v>1</v>
      </c>
      <c r="H62" s="24">
        <v>400</v>
      </c>
      <c r="I62" s="24">
        <v>400</v>
      </c>
      <c r="J62" s="27">
        <v>400</v>
      </c>
      <c r="K62" s="19"/>
      <c r="L62" s="38" t="s">
        <v>54</v>
      </c>
      <c r="M62" s="39" t="s">
        <v>55</v>
      </c>
      <c r="N62" s="40" t="s">
        <v>56</v>
      </c>
    </row>
    <row r="63" spans="1:14" ht="15" customHeight="1" x14ac:dyDescent="0.2">
      <c r="A63" s="22"/>
      <c r="B63" s="166"/>
      <c r="C63" s="165"/>
      <c r="D63" s="165"/>
      <c r="E63" s="165"/>
      <c r="F63" s="189"/>
      <c r="G63" s="26"/>
      <c r="H63" s="24"/>
      <c r="I63" s="24"/>
      <c r="J63" s="27"/>
      <c r="K63" s="19"/>
      <c r="L63" s="41">
        <f>I74</f>
        <v>4438</v>
      </c>
      <c r="M63" s="42">
        <f>SUM(J16:J68)</f>
        <v>33709</v>
      </c>
      <c r="N63" s="43">
        <f>L63-M63</f>
        <v>-29271</v>
      </c>
    </row>
    <row r="64" spans="1:14" ht="14.25" customHeight="1" x14ac:dyDescent="0.2">
      <c r="A64" s="22"/>
      <c r="B64" s="190" t="s">
        <v>57</v>
      </c>
      <c r="C64" s="165"/>
      <c r="D64" s="165"/>
      <c r="E64" s="165"/>
      <c r="F64" s="189"/>
      <c r="G64" s="26"/>
      <c r="H64" s="33"/>
      <c r="I64" s="44"/>
      <c r="J64" s="27"/>
      <c r="K64" s="19"/>
    </row>
    <row r="65" spans="1:26" ht="14.25" customHeight="1" x14ac:dyDescent="0.2">
      <c r="A65" s="22"/>
      <c r="B65" s="25"/>
      <c r="C65" s="35"/>
      <c r="D65" s="35"/>
      <c r="E65" s="35"/>
      <c r="F65" s="45"/>
      <c r="G65" s="26"/>
      <c r="H65" s="33"/>
      <c r="I65" s="44"/>
      <c r="J65" s="27"/>
      <c r="K65" s="19"/>
    </row>
    <row r="66" spans="1:26" ht="14.25" customHeight="1" x14ac:dyDescent="0.2">
      <c r="A66" s="22">
        <v>1</v>
      </c>
      <c r="B66" s="171" t="s">
        <v>58</v>
      </c>
      <c r="C66" s="165"/>
      <c r="D66" s="165"/>
      <c r="E66" s="165"/>
      <c r="F66" s="189"/>
      <c r="G66" s="26">
        <v>1</v>
      </c>
      <c r="H66" s="33">
        <v>800</v>
      </c>
      <c r="I66" s="44">
        <v>800</v>
      </c>
      <c r="J66" s="27">
        <v>400</v>
      </c>
      <c r="K66" s="19"/>
    </row>
    <row r="67" spans="1:26" ht="14.25" customHeight="1" x14ac:dyDescent="0.2">
      <c r="A67" s="22">
        <v>2</v>
      </c>
      <c r="B67" s="171" t="s">
        <v>59</v>
      </c>
      <c r="C67" s="165"/>
      <c r="D67" s="165"/>
      <c r="E67" s="165"/>
      <c r="F67" s="189"/>
      <c r="G67" s="26">
        <v>1</v>
      </c>
      <c r="H67" s="33">
        <v>300</v>
      </c>
      <c r="I67" s="44">
        <v>300</v>
      </c>
      <c r="J67" s="46">
        <v>150</v>
      </c>
      <c r="K67" s="27"/>
    </row>
    <row r="68" spans="1:26" ht="25.5" customHeight="1" x14ac:dyDescent="0.2">
      <c r="A68" s="22">
        <v>3</v>
      </c>
      <c r="B68" s="171" t="s">
        <v>181</v>
      </c>
      <c r="C68" s="165"/>
      <c r="D68" s="165"/>
      <c r="E68" s="165"/>
      <c r="F68" s="189"/>
      <c r="G68" s="26">
        <v>1</v>
      </c>
      <c r="H68" s="33">
        <v>200</v>
      </c>
      <c r="I68" s="44">
        <v>200</v>
      </c>
      <c r="J68" s="27">
        <v>100</v>
      </c>
      <c r="K68" s="19"/>
    </row>
    <row r="69" spans="1:26" ht="25.5" customHeight="1" x14ac:dyDescent="0.2">
      <c r="A69" s="47"/>
      <c r="B69" s="20"/>
      <c r="C69" s="20"/>
      <c r="D69" s="20"/>
      <c r="E69" s="20"/>
      <c r="F69" s="48"/>
      <c r="G69" s="49"/>
      <c r="H69" s="50"/>
      <c r="I69" s="51"/>
      <c r="J69" s="27"/>
      <c r="K69" s="19"/>
    </row>
    <row r="70" spans="1:26" ht="27.75" customHeight="1" x14ac:dyDescent="0.2">
      <c r="A70" s="52"/>
      <c r="B70" s="167" t="s">
        <v>61</v>
      </c>
      <c r="C70" s="168"/>
      <c r="D70" s="168"/>
      <c r="E70" s="168"/>
      <c r="F70" s="169"/>
      <c r="G70" s="170" t="s">
        <v>62</v>
      </c>
      <c r="H70" s="168"/>
      <c r="I70" s="95">
        <f>SUM(I15:I68)</f>
        <v>44380</v>
      </c>
      <c r="J70" s="54"/>
      <c r="K70" s="12" t="s">
        <v>63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24" hidden="1" customHeight="1" x14ac:dyDescent="0.2">
      <c r="A71" s="14"/>
      <c r="B71" s="7"/>
      <c r="C71" s="7"/>
      <c r="D71" s="7"/>
      <c r="E71" s="7"/>
      <c r="F71" s="7"/>
      <c r="G71" s="209" t="s">
        <v>62</v>
      </c>
      <c r="H71" s="181"/>
      <c r="I71" s="60"/>
      <c r="K71" s="12" t="s">
        <v>65</v>
      </c>
    </row>
    <row r="72" spans="1:26" ht="24" customHeight="1" x14ac:dyDescent="0.2">
      <c r="A72" s="14"/>
      <c r="B72" s="7"/>
      <c r="C72" s="7"/>
      <c r="D72" s="7"/>
      <c r="E72" s="170" t="s">
        <v>171</v>
      </c>
      <c r="F72" s="168"/>
      <c r="G72" s="210" t="s">
        <v>160</v>
      </c>
      <c r="H72" s="169"/>
      <c r="I72" s="97">
        <v>17752</v>
      </c>
      <c r="K72" s="12"/>
    </row>
    <row r="73" spans="1:26" ht="24" customHeight="1" x14ac:dyDescent="0.2">
      <c r="A73" s="14"/>
      <c r="B73" s="7"/>
      <c r="C73" s="7"/>
      <c r="D73" s="7"/>
      <c r="E73" s="170"/>
      <c r="F73" s="168"/>
      <c r="G73" s="170" t="s">
        <v>172</v>
      </c>
      <c r="H73" s="169"/>
      <c r="I73" s="96">
        <v>22190</v>
      </c>
      <c r="K73" s="12"/>
    </row>
    <row r="74" spans="1:26" ht="24" customHeight="1" x14ac:dyDescent="0.2">
      <c r="A74" s="14"/>
      <c r="B74" s="7"/>
      <c r="C74" s="7"/>
      <c r="D74" s="7"/>
      <c r="E74" s="99"/>
      <c r="F74" s="100"/>
      <c r="G74" s="212" t="s">
        <v>173</v>
      </c>
      <c r="H74" s="163"/>
      <c r="I74" s="101">
        <f>I70-I72-I73</f>
        <v>4438</v>
      </c>
    </row>
    <row r="75" spans="1:26" ht="24" customHeight="1" x14ac:dyDescent="0.2">
      <c r="A75" s="14"/>
      <c r="B75" s="7"/>
      <c r="C75" s="7"/>
      <c r="D75" s="7"/>
      <c r="E75" s="7"/>
      <c r="F75" s="7"/>
      <c r="G75" s="56"/>
      <c r="H75" s="56"/>
      <c r="I75" s="57"/>
    </row>
    <row r="76" spans="1:26" ht="14.25" customHeight="1" x14ac:dyDescent="0.2">
      <c r="A76" s="14"/>
      <c r="B76" s="171" t="s">
        <v>162</v>
      </c>
      <c r="C76" s="165"/>
      <c r="D76" s="165"/>
      <c r="E76" s="165"/>
      <c r="F76" s="165"/>
      <c r="G76" s="165"/>
      <c r="H76" s="165"/>
      <c r="I76" s="165"/>
      <c r="K76" s="12" t="s">
        <v>68</v>
      </c>
    </row>
    <row r="77" spans="1:26" ht="14.25" customHeight="1" x14ac:dyDescent="0.2">
      <c r="A77" s="14"/>
      <c r="B77" s="165"/>
      <c r="C77" s="165"/>
      <c r="D77" s="165"/>
      <c r="E77" s="165"/>
      <c r="F77" s="165"/>
      <c r="G77" s="165"/>
      <c r="H77" s="165"/>
      <c r="I77" s="165"/>
      <c r="K77" s="12"/>
    </row>
    <row r="78" spans="1:26" ht="14.25" customHeight="1" x14ac:dyDescent="0.2">
      <c r="A78" s="14"/>
      <c r="B78" s="46" t="s">
        <v>69</v>
      </c>
    </row>
    <row r="79" spans="1:26" ht="14.25" customHeight="1" x14ac:dyDescent="0.2">
      <c r="A79" s="14"/>
      <c r="B79" s="20"/>
      <c r="C79" s="20"/>
      <c r="D79" s="20"/>
      <c r="E79" s="20"/>
      <c r="F79" s="20"/>
      <c r="G79" s="20"/>
      <c r="H79" s="20"/>
      <c r="I79" s="20"/>
    </row>
    <row r="80" spans="1:26" ht="14.25" customHeight="1" x14ac:dyDescent="0.2">
      <c r="A80" s="14"/>
      <c r="B80" s="58"/>
    </row>
    <row r="81" spans="1:11" ht="116.25" customHeight="1" x14ac:dyDescent="0.2">
      <c r="A81" s="14"/>
      <c r="B81" s="7"/>
      <c r="C81" s="7"/>
      <c r="D81" s="7"/>
      <c r="E81" s="7"/>
      <c r="F81" s="7"/>
      <c r="G81" s="164" t="s">
        <v>70</v>
      </c>
      <c r="H81" s="165"/>
      <c r="I81" s="165"/>
    </row>
    <row r="82" spans="1:11" ht="14.25" customHeight="1" x14ac:dyDescent="0.2">
      <c r="A82" s="14"/>
      <c r="B82" s="7"/>
      <c r="C82" s="7"/>
      <c r="D82" s="7"/>
      <c r="E82" s="7"/>
      <c r="F82" s="7"/>
      <c r="G82" s="165"/>
      <c r="H82" s="165"/>
      <c r="I82" s="165"/>
      <c r="K82" s="12" t="s">
        <v>71</v>
      </c>
    </row>
    <row r="83" spans="1:11" ht="14.25" customHeight="1" x14ac:dyDescent="0.2">
      <c r="A83" s="14"/>
      <c r="B83" s="59"/>
      <c r="C83" s="59"/>
      <c r="D83" s="59"/>
      <c r="E83" s="59"/>
      <c r="F83" s="59"/>
      <c r="G83" s="59"/>
      <c r="H83" s="59"/>
      <c r="I83" s="59"/>
      <c r="K83" s="12"/>
    </row>
    <row r="84" spans="1:11" ht="14.25" customHeight="1" x14ac:dyDescent="0.2">
      <c r="A84" s="14"/>
    </row>
    <row r="85" spans="1:11" ht="14.25" customHeight="1" x14ac:dyDescent="0.2">
      <c r="A85" s="14"/>
    </row>
    <row r="86" spans="1:11" ht="14.25" customHeight="1" x14ac:dyDescent="0.2">
      <c r="A86" s="14"/>
    </row>
    <row r="87" spans="1:11" ht="14.25" customHeight="1" x14ac:dyDescent="0.2">
      <c r="A87" s="14"/>
    </row>
    <row r="88" spans="1:11" ht="14.25" customHeight="1" x14ac:dyDescent="0.2">
      <c r="A88" s="14"/>
    </row>
    <row r="89" spans="1:11" ht="14.25" customHeight="1" x14ac:dyDescent="0.2">
      <c r="A89" s="14"/>
    </row>
    <row r="90" spans="1:11" ht="14.25" customHeight="1" x14ac:dyDescent="0.2">
      <c r="A90" s="14"/>
    </row>
    <row r="91" spans="1:11" ht="14.25" customHeight="1" x14ac:dyDescent="0.2">
      <c r="A91" s="14"/>
    </row>
    <row r="92" spans="1:11" ht="14.25" customHeight="1" x14ac:dyDescent="0.2">
      <c r="A92" s="14"/>
    </row>
    <row r="93" spans="1:11" ht="14.25" customHeight="1" x14ac:dyDescent="0.2">
      <c r="A93" s="14"/>
    </row>
    <row r="94" spans="1:11" ht="14.25" customHeight="1" x14ac:dyDescent="0.2">
      <c r="A94" s="14"/>
    </row>
    <row r="95" spans="1:11" ht="14.25" customHeight="1" x14ac:dyDescent="0.2">
      <c r="A95" s="14"/>
    </row>
    <row r="96" spans="1:1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71">
    <mergeCell ref="B50:F50"/>
    <mergeCell ref="B51:F51"/>
    <mergeCell ref="B52:F52"/>
    <mergeCell ref="B53:F53"/>
    <mergeCell ref="B54:F54"/>
    <mergeCell ref="B55:F55"/>
    <mergeCell ref="B56:F56"/>
    <mergeCell ref="B57:F57"/>
    <mergeCell ref="B59:F59"/>
    <mergeCell ref="B60:F60"/>
    <mergeCell ref="B61:F61"/>
    <mergeCell ref="B62:F62"/>
    <mergeCell ref="B63:F63"/>
    <mergeCell ref="B64:F64"/>
    <mergeCell ref="E72:F72"/>
    <mergeCell ref="B66:F66"/>
    <mergeCell ref="B67:F67"/>
    <mergeCell ref="B68:F68"/>
    <mergeCell ref="B70:F70"/>
    <mergeCell ref="E73:F73"/>
    <mergeCell ref="G73:H73"/>
    <mergeCell ref="G74:H74"/>
    <mergeCell ref="B76:I77"/>
    <mergeCell ref="G81:I82"/>
    <mergeCell ref="G70:H70"/>
    <mergeCell ref="G71:H71"/>
    <mergeCell ref="G72:H72"/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9:F49"/>
    <mergeCell ref="B42:F42"/>
    <mergeCell ref="B45:F45"/>
    <mergeCell ref="B46:F46"/>
    <mergeCell ref="B47:F47"/>
    <mergeCell ref="B48:F48"/>
  </mergeCells>
  <hyperlinks>
    <hyperlink ref="K3" r:id="rId1" xr:uid="{00000000-0004-0000-0A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148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182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2641</v>
      </c>
      <c r="H5" s="182"/>
      <c r="I5" s="11">
        <v>45742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183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184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185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26" ht="14.25" customHeight="1" x14ac:dyDescent="0.2">
      <c r="A17" s="22"/>
      <c r="B17" s="28"/>
      <c r="C17" s="28"/>
      <c r="D17" s="28"/>
      <c r="E17" s="28"/>
      <c r="F17" s="29"/>
      <c r="G17" s="26"/>
      <c r="H17" s="24"/>
      <c r="I17" s="24"/>
      <c r="J17" s="27"/>
      <c r="K17" s="19"/>
    </row>
    <row r="18" spans="1:26" ht="14.25" customHeight="1" x14ac:dyDescent="0.2">
      <c r="A18" s="22"/>
      <c r="B18" s="192" t="s">
        <v>186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26" ht="14.25" customHeight="1" x14ac:dyDescent="0.2">
      <c r="A19" s="22"/>
      <c r="B19" s="30"/>
      <c r="C19" s="30"/>
      <c r="D19" s="30"/>
      <c r="E19" s="30"/>
      <c r="F19" s="31"/>
      <c r="G19" s="26"/>
      <c r="H19" s="24"/>
      <c r="I19" s="24"/>
      <c r="J19" s="27"/>
      <c r="K19" s="19"/>
    </row>
    <row r="20" spans="1:26" ht="39" customHeight="1" x14ac:dyDescent="0.2">
      <c r="A20" s="22">
        <v>1</v>
      </c>
      <c r="B20" s="171" t="s">
        <v>187</v>
      </c>
      <c r="C20" s="165"/>
      <c r="D20" s="165"/>
      <c r="E20" s="165"/>
      <c r="F20" s="189"/>
      <c r="G20" s="32">
        <v>2</v>
      </c>
      <c r="H20" s="33">
        <v>500</v>
      </c>
      <c r="I20" s="33">
        <v>1000</v>
      </c>
      <c r="J20" s="27">
        <v>300</v>
      </c>
      <c r="K20" s="19"/>
    </row>
    <row r="21" spans="1:26" ht="14.25" customHeight="1" x14ac:dyDescent="0.2">
      <c r="A21" s="22">
        <v>2</v>
      </c>
      <c r="B21" s="171" t="s">
        <v>188</v>
      </c>
      <c r="C21" s="165"/>
      <c r="D21" s="165"/>
      <c r="E21" s="165"/>
      <c r="F21" s="189"/>
      <c r="G21" s="32">
        <v>2</v>
      </c>
      <c r="H21" s="33">
        <v>35</v>
      </c>
      <c r="I21" s="33">
        <v>70</v>
      </c>
      <c r="J21" s="27">
        <v>40</v>
      </c>
      <c r="K21" s="19"/>
    </row>
    <row r="22" spans="1:26" ht="14.25" customHeight="1" x14ac:dyDescent="0.2">
      <c r="A22" s="22">
        <v>3</v>
      </c>
      <c r="B22" s="171" t="s">
        <v>27</v>
      </c>
      <c r="C22" s="165"/>
      <c r="D22" s="165"/>
      <c r="E22" s="165"/>
      <c r="F22" s="189"/>
      <c r="G22" s="32">
        <v>2</v>
      </c>
      <c r="H22" s="33">
        <v>190</v>
      </c>
      <c r="I22" s="33">
        <v>380</v>
      </c>
      <c r="J22" s="27">
        <v>200</v>
      </c>
      <c r="K22" s="19" t="s">
        <v>26</v>
      </c>
    </row>
    <row r="23" spans="1:26" ht="14.25" customHeight="1" x14ac:dyDescent="0.2">
      <c r="A23" s="22">
        <v>4</v>
      </c>
      <c r="B23" s="171" t="s">
        <v>189</v>
      </c>
      <c r="C23" s="165"/>
      <c r="D23" s="165"/>
      <c r="E23" s="165"/>
      <c r="F23" s="189"/>
      <c r="G23" s="32">
        <v>2</v>
      </c>
      <c r="H23" s="33">
        <v>40</v>
      </c>
      <c r="I23" s="33">
        <v>80</v>
      </c>
      <c r="J23" s="27">
        <v>20</v>
      </c>
      <c r="K23" s="19"/>
    </row>
    <row r="24" spans="1:26" ht="13.5" customHeight="1" x14ac:dyDescent="0.2">
      <c r="A24" s="22">
        <v>5</v>
      </c>
      <c r="B24" s="171" t="s">
        <v>190</v>
      </c>
      <c r="C24" s="165"/>
      <c r="D24" s="165"/>
      <c r="E24" s="165"/>
      <c r="F24" s="189"/>
      <c r="G24" s="32">
        <v>1</v>
      </c>
      <c r="H24" s="33">
        <v>399</v>
      </c>
      <c r="I24" s="33">
        <v>399</v>
      </c>
      <c r="J24" s="27">
        <v>222</v>
      </c>
      <c r="K24" s="19"/>
    </row>
    <row r="25" spans="1:26" ht="26.25" customHeight="1" x14ac:dyDescent="0.2">
      <c r="A25" s="22">
        <v>6</v>
      </c>
      <c r="B25" s="164" t="s">
        <v>43</v>
      </c>
      <c r="C25" s="165"/>
      <c r="D25" s="165"/>
      <c r="E25" s="165"/>
      <c r="F25" s="189"/>
      <c r="G25" s="26">
        <v>2</v>
      </c>
      <c r="H25" s="24">
        <v>65</v>
      </c>
      <c r="I25" s="24">
        <v>130</v>
      </c>
      <c r="J25" s="27">
        <v>90</v>
      </c>
      <c r="K25" s="19"/>
    </row>
    <row r="26" spans="1:26" ht="14.25" customHeight="1" x14ac:dyDescent="0.2">
      <c r="A26" s="22">
        <v>7</v>
      </c>
      <c r="B26" s="164" t="s">
        <v>42</v>
      </c>
      <c r="C26" s="165"/>
      <c r="D26" s="165"/>
      <c r="E26" s="165"/>
      <c r="F26" s="189"/>
      <c r="G26" s="26">
        <v>2</v>
      </c>
      <c r="H26" s="24">
        <v>400</v>
      </c>
      <c r="I26" s="24">
        <v>800</v>
      </c>
      <c r="J26" s="27">
        <v>200</v>
      </c>
      <c r="K26" s="19" t="s">
        <v>191</v>
      </c>
    </row>
    <row r="27" spans="1:26" ht="14.25" customHeight="1" x14ac:dyDescent="0.2">
      <c r="A27" s="22">
        <v>8</v>
      </c>
      <c r="B27" s="164" t="s">
        <v>192</v>
      </c>
      <c r="C27" s="165"/>
      <c r="D27" s="165"/>
      <c r="E27" s="165"/>
      <c r="F27" s="189"/>
      <c r="G27" s="26">
        <v>1</v>
      </c>
      <c r="H27" s="24">
        <v>141</v>
      </c>
      <c r="I27" s="24">
        <v>141</v>
      </c>
      <c r="J27" s="27">
        <v>100</v>
      </c>
      <c r="K27" s="19"/>
    </row>
    <row r="28" spans="1:26" ht="14.25" customHeight="1" x14ac:dyDescent="0.2">
      <c r="A28" s="22"/>
      <c r="B28" s="164"/>
      <c r="C28" s="165"/>
      <c r="D28" s="165"/>
      <c r="E28" s="165"/>
      <c r="F28" s="189"/>
      <c r="G28" s="26"/>
      <c r="H28" s="24"/>
      <c r="I28" s="24"/>
      <c r="J28" s="27"/>
      <c r="K28" s="19"/>
    </row>
    <row r="29" spans="1:26" ht="26.25" customHeight="1" x14ac:dyDescent="0.2">
      <c r="A29" s="22"/>
      <c r="B29" s="164"/>
      <c r="C29" s="165"/>
      <c r="D29" s="165"/>
      <c r="E29" s="165"/>
      <c r="F29" s="189"/>
      <c r="G29" s="26"/>
      <c r="H29" s="24"/>
      <c r="I29" s="24"/>
      <c r="J29" s="27"/>
      <c r="K29" s="19"/>
      <c r="L29" s="38" t="s">
        <v>54</v>
      </c>
      <c r="M29" s="39" t="s">
        <v>55</v>
      </c>
      <c r="N29" s="40" t="s">
        <v>56</v>
      </c>
    </row>
    <row r="30" spans="1:26" ht="15" customHeight="1" x14ac:dyDescent="0.2">
      <c r="A30" s="22"/>
      <c r="B30" s="166"/>
      <c r="C30" s="165"/>
      <c r="D30" s="165"/>
      <c r="E30" s="165"/>
      <c r="F30" s="189"/>
      <c r="G30" s="26"/>
      <c r="H30" s="24"/>
      <c r="I30" s="24"/>
      <c r="J30" s="27"/>
      <c r="K30" s="19"/>
      <c r="L30" s="41">
        <f>I33</f>
        <v>3000</v>
      </c>
      <c r="M30" s="42">
        <f>SUM(J16:J30)</f>
        <v>1172</v>
      </c>
      <c r="N30" s="43">
        <f>L30-M30</f>
        <v>1828</v>
      </c>
    </row>
    <row r="31" spans="1:26" ht="27.75" customHeight="1" x14ac:dyDescent="0.2">
      <c r="A31" s="52"/>
      <c r="B31" s="167" t="s">
        <v>61</v>
      </c>
      <c r="C31" s="168"/>
      <c r="D31" s="168"/>
      <c r="E31" s="168"/>
      <c r="F31" s="169"/>
      <c r="G31" s="170" t="s">
        <v>62</v>
      </c>
      <c r="H31" s="168"/>
      <c r="I31" s="53">
        <f>SUM(I15:I30)</f>
        <v>3000</v>
      </c>
      <c r="J31" s="54"/>
      <c r="K31" s="12" t="s">
        <v>63</v>
      </c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24" hidden="1" customHeight="1" x14ac:dyDescent="0.2">
      <c r="A32" s="14"/>
      <c r="B32" s="7"/>
      <c r="C32" s="7"/>
      <c r="D32" s="7"/>
      <c r="E32" s="7"/>
      <c r="F32" s="7"/>
      <c r="G32" s="170" t="s">
        <v>95</v>
      </c>
      <c r="H32" s="168"/>
      <c r="I32" s="60"/>
      <c r="K32" s="12" t="s">
        <v>65</v>
      </c>
    </row>
    <row r="33" spans="1:11" ht="24" customHeight="1" x14ac:dyDescent="0.2">
      <c r="A33" s="14"/>
      <c r="B33" s="7"/>
      <c r="C33" s="7"/>
      <c r="D33" s="7"/>
      <c r="E33" s="7"/>
      <c r="F33" s="7"/>
      <c r="G33" s="162" t="s">
        <v>193</v>
      </c>
      <c r="H33" s="163"/>
      <c r="I33" s="55">
        <f>I31+I32</f>
        <v>3000</v>
      </c>
    </row>
    <row r="34" spans="1:11" ht="24" customHeight="1" x14ac:dyDescent="0.2">
      <c r="A34" s="14"/>
      <c r="B34" s="7"/>
      <c r="C34" s="7"/>
      <c r="D34" s="7"/>
      <c r="E34" s="7"/>
      <c r="F34" s="7"/>
      <c r="G34" s="56"/>
      <c r="H34" s="56"/>
      <c r="I34" s="57"/>
    </row>
    <row r="35" spans="1:11" ht="14.25" customHeight="1" x14ac:dyDescent="0.2">
      <c r="A35" s="14"/>
      <c r="B35" s="171"/>
      <c r="C35" s="165"/>
      <c r="D35" s="165"/>
      <c r="E35" s="165"/>
      <c r="F35" s="165"/>
      <c r="G35" s="165"/>
      <c r="H35" s="165"/>
      <c r="I35" s="165"/>
      <c r="K35" s="12" t="s">
        <v>68</v>
      </c>
    </row>
    <row r="36" spans="1:11" ht="14.25" customHeight="1" x14ac:dyDescent="0.2">
      <c r="A36" s="14"/>
      <c r="B36" s="165"/>
      <c r="C36" s="165"/>
      <c r="D36" s="165"/>
      <c r="E36" s="165"/>
      <c r="F36" s="165"/>
      <c r="G36" s="165"/>
      <c r="H36" s="165"/>
      <c r="I36" s="165"/>
      <c r="K36" s="12"/>
    </row>
    <row r="37" spans="1:11" ht="14.25" customHeight="1" x14ac:dyDescent="0.2">
      <c r="A37" s="14"/>
      <c r="B37" s="46" t="s">
        <v>69</v>
      </c>
    </row>
    <row r="38" spans="1:11" ht="14.25" customHeight="1" x14ac:dyDescent="0.2">
      <c r="A38" s="14"/>
      <c r="B38" s="20"/>
      <c r="C38" s="20"/>
      <c r="D38" s="20"/>
      <c r="E38" s="20"/>
      <c r="F38" s="20"/>
      <c r="G38" s="20"/>
      <c r="H38" s="20"/>
      <c r="I38" s="20"/>
    </row>
    <row r="39" spans="1:11" ht="14.25" customHeight="1" x14ac:dyDescent="0.2">
      <c r="A39" s="14"/>
      <c r="B39" s="58"/>
    </row>
    <row r="40" spans="1:11" ht="116.25" customHeight="1" x14ac:dyDescent="0.2">
      <c r="A40" s="14"/>
      <c r="B40" s="7"/>
      <c r="C40" s="7"/>
      <c r="D40" s="7"/>
      <c r="E40" s="7"/>
      <c r="F40" s="7"/>
      <c r="G40" s="164" t="s">
        <v>70</v>
      </c>
      <c r="H40" s="165"/>
      <c r="I40" s="165"/>
    </row>
    <row r="41" spans="1:11" ht="14.25" customHeight="1" x14ac:dyDescent="0.2">
      <c r="A41" s="14"/>
      <c r="B41" s="7"/>
      <c r="C41" s="7"/>
      <c r="D41" s="7"/>
      <c r="E41" s="7"/>
      <c r="F41" s="7"/>
      <c r="G41" s="165"/>
      <c r="H41" s="165"/>
      <c r="I41" s="165"/>
      <c r="K41" s="12" t="s">
        <v>71</v>
      </c>
    </row>
    <row r="42" spans="1:11" ht="14.25" customHeight="1" x14ac:dyDescent="0.2">
      <c r="A42" s="14"/>
      <c r="B42" s="59"/>
      <c r="C42" s="59"/>
      <c r="D42" s="59"/>
      <c r="E42" s="59"/>
      <c r="F42" s="59"/>
      <c r="G42" s="59"/>
      <c r="H42" s="59"/>
      <c r="I42" s="59"/>
      <c r="K42" s="12"/>
    </row>
    <row r="43" spans="1:11" ht="14.25" customHeight="1" x14ac:dyDescent="0.2">
      <c r="A43" s="14"/>
    </row>
    <row r="44" spans="1:11" ht="14.25" customHeight="1" x14ac:dyDescent="0.2">
      <c r="A44" s="14"/>
    </row>
    <row r="45" spans="1:11" ht="14.25" customHeight="1" x14ac:dyDescent="0.2">
      <c r="A45" s="14"/>
    </row>
    <row r="46" spans="1:11" ht="14.25" customHeight="1" x14ac:dyDescent="0.2">
      <c r="A46" s="14"/>
    </row>
    <row r="47" spans="1:11" ht="14.25" customHeight="1" x14ac:dyDescent="0.2">
      <c r="A47" s="14"/>
    </row>
    <row r="48" spans="1:11" ht="14.25" customHeight="1" x14ac:dyDescent="0.2">
      <c r="A48" s="14"/>
    </row>
    <row r="49" spans="1:1" ht="14.25" customHeight="1" x14ac:dyDescent="0.2">
      <c r="A49" s="14"/>
    </row>
    <row r="50" spans="1:1" ht="14.25" customHeight="1" x14ac:dyDescent="0.2">
      <c r="A50" s="14"/>
    </row>
    <row r="51" spans="1:1" ht="14.25" customHeight="1" x14ac:dyDescent="0.2">
      <c r="A51" s="14"/>
    </row>
    <row r="52" spans="1:1" ht="14.25" customHeight="1" x14ac:dyDescent="0.2">
      <c r="A52" s="14"/>
    </row>
    <row r="53" spans="1:1" ht="14.25" customHeight="1" x14ac:dyDescent="0.2">
      <c r="A53" s="14"/>
    </row>
    <row r="54" spans="1:1" ht="14.25" customHeight="1" x14ac:dyDescent="0.2">
      <c r="A54" s="14"/>
    </row>
    <row r="55" spans="1:1" ht="14.25" customHeight="1" x14ac:dyDescent="0.2">
      <c r="A55" s="14"/>
    </row>
    <row r="56" spans="1:1" ht="14.25" customHeight="1" x14ac:dyDescent="0.2">
      <c r="A56" s="14"/>
    </row>
    <row r="57" spans="1:1" ht="14.25" customHeight="1" x14ac:dyDescent="0.2">
      <c r="A57" s="14"/>
    </row>
    <row r="58" spans="1:1" ht="14.25" customHeight="1" x14ac:dyDescent="0.2">
      <c r="A58" s="14"/>
    </row>
    <row r="59" spans="1:1" ht="14.25" customHeight="1" x14ac:dyDescent="0.2">
      <c r="A59" s="14"/>
    </row>
    <row r="60" spans="1:1" ht="14.25" customHeight="1" x14ac:dyDescent="0.2">
      <c r="A60" s="14"/>
    </row>
    <row r="61" spans="1:1" ht="14.25" customHeight="1" x14ac:dyDescent="0.2">
      <c r="A61" s="14"/>
    </row>
    <row r="62" spans="1:1" ht="14.25" customHeight="1" x14ac:dyDescent="0.2">
      <c r="A62" s="14"/>
    </row>
    <row r="63" spans="1:1" ht="14.25" customHeight="1" x14ac:dyDescent="0.2">
      <c r="A63" s="14"/>
    </row>
    <row r="64" spans="1:1" ht="14.25" customHeight="1" x14ac:dyDescent="0.2">
      <c r="A64" s="14"/>
    </row>
    <row r="65" spans="1:1" ht="14.25" customHeight="1" x14ac:dyDescent="0.2">
      <c r="A65" s="14"/>
    </row>
    <row r="66" spans="1:1" ht="14.25" customHeight="1" x14ac:dyDescent="0.2">
      <c r="A66" s="14"/>
    </row>
    <row r="67" spans="1:1" ht="14.25" customHeight="1" x14ac:dyDescent="0.2">
      <c r="A67" s="14"/>
    </row>
    <row r="68" spans="1:1" ht="14.25" customHeight="1" x14ac:dyDescent="0.2">
      <c r="A68" s="14"/>
    </row>
    <row r="69" spans="1:1" ht="14.25" customHeight="1" x14ac:dyDescent="0.2">
      <c r="A69" s="14"/>
    </row>
    <row r="70" spans="1:1" ht="14.25" customHeight="1" x14ac:dyDescent="0.2">
      <c r="A70" s="14"/>
    </row>
    <row r="71" spans="1:1" ht="14.25" customHeight="1" x14ac:dyDescent="0.2">
      <c r="A71" s="14"/>
    </row>
    <row r="72" spans="1:1" ht="14.25" customHeight="1" x14ac:dyDescent="0.2">
      <c r="A72" s="14"/>
    </row>
    <row r="73" spans="1:1" ht="14.25" customHeight="1" x14ac:dyDescent="0.2">
      <c r="A73" s="14"/>
    </row>
    <row r="74" spans="1:1" ht="14.25" customHeight="1" x14ac:dyDescent="0.2">
      <c r="A74" s="14"/>
    </row>
    <row r="75" spans="1:1" ht="14.25" customHeight="1" x14ac:dyDescent="0.2">
      <c r="A75" s="14"/>
    </row>
    <row r="76" spans="1:1" ht="14.25" customHeight="1" x14ac:dyDescent="0.2">
      <c r="A76" s="14"/>
    </row>
    <row r="77" spans="1:1" ht="14.25" customHeight="1" x14ac:dyDescent="0.2">
      <c r="A77" s="14"/>
    </row>
    <row r="78" spans="1:1" ht="14.25" customHeight="1" x14ac:dyDescent="0.2">
      <c r="A78" s="14"/>
    </row>
    <row r="79" spans="1:1" ht="14.25" customHeight="1" x14ac:dyDescent="0.2">
      <c r="A79" s="14"/>
    </row>
    <row r="80" spans="1:1" ht="14.25" customHeight="1" x14ac:dyDescent="0.2">
      <c r="A80" s="14"/>
    </row>
    <row r="81" spans="1:1" ht="14.25" customHeight="1" x14ac:dyDescent="0.2">
      <c r="A81" s="14"/>
    </row>
    <row r="82" spans="1:1" ht="14.25" customHeight="1" x14ac:dyDescent="0.2">
      <c r="A82" s="14"/>
    </row>
    <row r="83" spans="1:1" ht="14.25" customHeight="1" x14ac:dyDescent="0.2">
      <c r="A83" s="14"/>
    </row>
    <row r="84" spans="1:1" ht="14.25" customHeight="1" x14ac:dyDescent="0.2">
      <c r="A84" s="14"/>
    </row>
    <row r="85" spans="1:1" ht="14.25" customHeight="1" x14ac:dyDescent="0.2">
      <c r="A85" s="14"/>
    </row>
    <row r="86" spans="1:1" ht="14.25" customHeight="1" x14ac:dyDescent="0.2">
      <c r="A86" s="14"/>
    </row>
    <row r="87" spans="1:1" ht="14.25" customHeight="1" x14ac:dyDescent="0.2">
      <c r="A87" s="14"/>
    </row>
    <row r="88" spans="1:1" ht="14.25" customHeight="1" x14ac:dyDescent="0.2">
      <c r="A88" s="14"/>
    </row>
    <row r="89" spans="1:1" ht="14.25" customHeight="1" x14ac:dyDescent="0.2">
      <c r="A89" s="14"/>
    </row>
    <row r="90" spans="1:1" ht="14.25" customHeight="1" x14ac:dyDescent="0.2">
      <c r="A90" s="14"/>
    </row>
    <row r="91" spans="1:1" ht="14.25" customHeight="1" x14ac:dyDescent="0.2">
      <c r="A91" s="14"/>
    </row>
    <row r="92" spans="1:1" ht="14.25" customHeight="1" x14ac:dyDescent="0.2">
      <c r="A92" s="14"/>
    </row>
    <row r="93" spans="1:1" ht="14.25" customHeight="1" x14ac:dyDescent="0.2">
      <c r="A93" s="14"/>
    </row>
    <row r="94" spans="1:1" ht="14.25" customHeight="1" x14ac:dyDescent="0.2">
      <c r="A94" s="14"/>
    </row>
    <row r="95" spans="1:1" ht="14.25" customHeight="1" x14ac:dyDescent="0.2">
      <c r="A95" s="14"/>
    </row>
    <row r="96" spans="1: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33"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0:F20"/>
    <mergeCell ref="B21:F21"/>
    <mergeCell ref="B22:F22"/>
    <mergeCell ref="B23:F23"/>
    <mergeCell ref="B24:F24"/>
    <mergeCell ref="B25:F25"/>
    <mergeCell ref="B26:F26"/>
    <mergeCell ref="G33:H33"/>
    <mergeCell ref="B35:I36"/>
    <mergeCell ref="G40:I41"/>
    <mergeCell ref="B27:F27"/>
    <mergeCell ref="B28:F28"/>
    <mergeCell ref="B29:F29"/>
    <mergeCell ref="B30:F30"/>
    <mergeCell ref="B31:F31"/>
    <mergeCell ref="G31:H31"/>
    <mergeCell ref="G32:H32"/>
  </mergeCells>
  <hyperlinks>
    <hyperlink ref="K3" r:id="rId1" xr:uid="{00000000-0004-0000-0B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21.75" customHeight="1" x14ac:dyDescent="0.2">
      <c r="A1" s="1" t="s">
        <v>0</v>
      </c>
      <c r="B1" s="1"/>
      <c r="C1" s="1"/>
      <c r="D1" s="1"/>
      <c r="E1" s="2"/>
      <c r="F1" s="3"/>
      <c r="H1" s="4"/>
      <c r="I1" s="5" t="s">
        <v>148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182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2642</v>
      </c>
      <c r="H5" s="182"/>
      <c r="I5" s="11">
        <v>45745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14"/>
      <c r="B7" s="6"/>
      <c r="C7" s="6"/>
      <c r="D7" s="6"/>
      <c r="E7" s="6"/>
      <c r="F7" s="6"/>
      <c r="G7" s="185"/>
      <c r="H7" s="165"/>
      <c r="I7" s="16"/>
      <c r="K7" s="8"/>
    </row>
    <row r="8" spans="1:11" ht="19.5" customHeight="1" x14ac:dyDescent="0.2">
      <c r="A8" s="172" t="s">
        <v>12</v>
      </c>
      <c r="B8" s="173"/>
      <c r="C8" s="173"/>
      <c r="D8" s="174"/>
      <c r="E8" s="6"/>
      <c r="H8" s="17" t="s">
        <v>13</v>
      </c>
      <c r="I8" s="18"/>
      <c r="K8" s="19"/>
    </row>
    <row r="9" spans="1:11" ht="14.25" customHeight="1" x14ac:dyDescent="0.2">
      <c r="A9" s="171" t="s">
        <v>194</v>
      </c>
      <c r="B9" s="165"/>
      <c r="C9" s="165"/>
      <c r="D9" s="165"/>
      <c r="E9" s="6"/>
      <c r="H9" s="17"/>
      <c r="I9" s="18"/>
      <c r="K9" s="19"/>
    </row>
    <row r="10" spans="1:11" ht="14.25" customHeight="1" x14ac:dyDescent="0.2">
      <c r="A10" s="165"/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</row>
    <row r="12" spans="1:11" ht="14.25" customHeight="1" x14ac:dyDescent="0.2">
      <c r="A12" s="176" t="s">
        <v>195</v>
      </c>
      <c r="B12" s="165"/>
      <c r="C12" s="165"/>
      <c r="D12" s="165"/>
      <c r="E12" s="6"/>
      <c r="F12" s="6"/>
    </row>
    <row r="13" spans="1:11" ht="14.25" customHeight="1" x14ac:dyDescent="0.2">
      <c r="A13" s="14"/>
      <c r="B13" s="6"/>
      <c r="C13" s="6"/>
      <c r="D13" s="6"/>
      <c r="E13" s="6"/>
      <c r="F13" s="6"/>
      <c r="G13" s="6"/>
      <c r="H13" s="6"/>
      <c r="I13" s="6"/>
      <c r="K13" s="19"/>
    </row>
    <row r="14" spans="1:11" ht="19.5" customHeight="1" x14ac:dyDescent="0.2">
      <c r="A14" s="21" t="s">
        <v>16</v>
      </c>
      <c r="B14" s="177" t="s">
        <v>17</v>
      </c>
      <c r="C14" s="178"/>
      <c r="D14" s="178"/>
      <c r="E14" s="178"/>
      <c r="F14" s="179"/>
      <c r="G14" s="10" t="s">
        <v>18</v>
      </c>
      <c r="H14" s="10" t="s">
        <v>19</v>
      </c>
      <c r="I14" s="10" t="s">
        <v>20</v>
      </c>
      <c r="K14" s="19"/>
    </row>
    <row r="15" spans="1:11" ht="11.25" customHeight="1" x14ac:dyDescent="0.2">
      <c r="A15" s="22"/>
      <c r="B15" s="180"/>
      <c r="C15" s="181"/>
      <c r="D15" s="181"/>
      <c r="E15" s="181"/>
      <c r="F15" s="182"/>
      <c r="G15" s="23"/>
      <c r="H15" s="24"/>
      <c r="I15" s="24"/>
      <c r="K15" s="12"/>
    </row>
    <row r="16" spans="1:11" ht="35.25" customHeight="1" x14ac:dyDescent="0.2">
      <c r="A16" s="22"/>
      <c r="B16" s="191" t="s">
        <v>196</v>
      </c>
      <c r="C16" s="165"/>
      <c r="D16" s="165"/>
      <c r="E16" s="165"/>
      <c r="F16" s="189"/>
      <c r="G16" s="26"/>
      <c r="H16" s="24"/>
      <c r="I16" s="24"/>
      <c r="J16" s="27"/>
      <c r="K16" s="19"/>
    </row>
    <row r="17" spans="1:26" ht="14.25" customHeight="1" x14ac:dyDescent="0.2">
      <c r="A17" s="22"/>
      <c r="B17" s="28"/>
      <c r="C17" s="28"/>
      <c r="D17" s="28"/>
      <c r="E17" s="28"/>
      <c r="F17" s="29"/>
      <c r="G17" s="26"/>
      <c r="H17" s="24"/>
      <c r="I17" s="24"/>
      <c r="J17" s="27"/>
      <c r="K17" s="19"/>
    </row>
    <row r="18" spans="1:26" ht="14.25" customHeight="1" x14ac:dyDescent="0.2">
      <c r="A18" s="22"/>
      <c r="B18" s="192" t="s">
        <v>186</v>
      </c>
      <c r="C18" s="165"/>
      <c r="D18" s="165"/>
      <c r="E18" s="165"/>
      <c r="F18" s="189"/>
      <c r="G18" s="26"/>
      <c r="H18" s="24"/>
      <c r="I18" s="24"/>
      <c r="J18" s="27"/>
      <c r="K18" s="19"/>
    </row>
    <row r="19" spans="1:26" ht="14.25" customHeight="1" x14ac:dyDescent="0.2">
      <c r="A19" s="22"/>
      <c r="B19" s="30"/>
      <c r="C19" s="30"/>
      <c r="D19" s="30"/>
      <c r="E19" s="30"/>
      <c r="F19" s="31"/>
      <c r="G19" s="26"/>
      <c r="H19" s="24"/>
      <c r="I19" s="24"/>
      <c r="J19" s="27"/>
      <c r="K19" s="19"/>
    </row>
    <row r="20" spans="1:26" ht="39" customHeight="1" x14ac:dyDescent="0.2">
      <c r="A20" s="22">
        <v>1</v>
      </c>
      <c r="B20" s="171" t="s">
        <v>197</v>
      </c>
      <c r="C20" s="165"/>
      <c r="D20" s="165"/>
      <c r="E20" s="165"/>
      <c r="F20" s="189"/>
      <c r="G20" s="32">
        <v>2</v>
      </c>
      <c r="H20" s="33">
        <v>500</v>
      </c>
      <c r="I20" s="33">
        <v>1000</v>
      </c>
      <c r="J20" s="27">
        <v>300</v>
      </c>
      <c r="K20" s="19"/>
    </row>
    <row r="21" spans="1:26" ht="14.25" customHeight="1" x14ac:dyDescent="0.2">
      <c r="A21" s="22">
        <v>2</v>
      </c>
      <c r="B21" s="171" t="s">
        <v>188</v>
      </c>
      <c r="C21" s="165"/>
      <c r="D21" s="165"/>
      <c r="E21" s="165"/>
      <c r="F21" s="189"/>
      <c r="G21" s="32">
        <v>2</v>
      </c>
      <c r="H21" s="33">
        <v>35</v>
      </c>
      <c r="I21" s="33">
        <v>70</v>
      </c>
      <c r="J21" s="27">
        <v>40</v>
      </c>
      <c r="K21" s="19"/>
    </row>
    <row r="22" spans="1:26" ht="14.25" customHeight="1" x14ac:dyDescent="0.2">
      <c r="A22" s="22">
        <v>3</v>
      </c>
      <c r="B22" s="171" t="s">
        <v>198</v>
      </c>
      <c r="C22" s="165"/>
      <c r="D22" s="165"/>
      <c r="E22" s="165"/>
      <c r="F22" s="189"/>
      <c r="G22" s="32">
        <v>2</v>
      </c>
      <c r="H22" s="33">
        <v>120</v>
      </c>
      <c r="I22" s="33">
        <v>240</v>
      </c>
      <c r="J22" s="27">
        <v>200</v>
      </c>
      <c r="K22" s="19" t="s">
        <v>26</v>
      </c>
    </row>
    <row r="23" spans="1:26" ht="14.25" customHeight="1" x14ac:dyDescent="0.2">
      <c r="A23" s="22">
        <v>4</v>
      </c>
      <c r="B23" s="171" t="s">
        <v>190</v>
      </c>
      <c r="C23" s="165"/>
      <c r="D23" s="165"/>
      <c r="E23" s="165"/>
      <c r="F23" s="189"/>
      <c r="G23" s="32">
        <v>1</v>
      </c>
      <c r="H23" s="33">
        <v>399</v>
      </c>
      <c r="I23" s="33">
        <v>399</v>
      </c>
      <c r="J23" s="27">
        <v>20</v>
      </c>
      <c r="K23" s="19"/>
    </row>
    <row r="24" spans="1:26" ht="13.5" customHeight="1" x14ac:dyDescent="0.2">
      <c r="A24" s="22">
        <v>5</v>
      </c>
      <c r="B24" s="164" t="s">
        <v>43</v>
      </c>
      <c r="C24" s="165"/>
      <c r="D24" s="165"/>
      <c r="E24" s="165"/>
      <c r="F24" s="189"/>
      <c r="G24" s="26">
        <v>2</v>
      </c>
      <c r="H24" s="24">
        <v>65</v>
      </c>
      <c r="I24" s="24">
        <v>130</v>
      </c>
      <c r="J24" s="27">
        <v>222</v>
      </c>
      <c r="K24" s="19"/>
    </row>
    <row r="25" spans="1:26" ht="15" customHeight="1" x14ac:dyDescent="0.2">
      <c r="A25" s="22">
        <v>6</v>
      </c>
      <c r="B25" s="164" t="s">
        <v>42</v>
      </c>
      <c r="C25" s="165"/>
      <c r="D25" s="165"/>
      <c r="E25" s="165"/>
      <c r="F25" s="189"/>
      <c r="G25" s="26">
        <v>2</v>
      </c>
      <c r="H25" s="24">
        <v>400</v>
      </c>
      <c r="I25" s="24">
        <v>800</v>
      </c>
      <c r="J25" s="27">
        <v>90</v>
      </c>
      <c r="K25" s="19"/>
    </row>
    <row r="26" spans="1:26" ht="14.25" customHeight="1" x14ac:dyDescent="0.2">
      <c r="A26" s="22">
        <v>7</v>
      </c>
      <c r="B26" s="164" t="s">
        <v>199</v>
      </c>
      <c r="C26" s="165"/>
      <c r="D26" s="165"/>
      <c r="E26" s="165"/>
      <c r="F26" s="189"/>
      <c r="G26" s="26">
        <v>2</v>
      </c>
      <c r="H26" s="24">
        <v>1999</v>
      </c>
      <c r="I26" s="24">
        <v>3998</v>
      </c>
      <c r="J26" s="27">
        <v>200</v>
      </c>
      <c r="K26" s="19" t="s">
        <v>191</v>
      </c>
    </row>
    <row r="27" spans="1:26" ht="14.25" customHeight="1" x14ac:dyDescent="0.2">
      <c r="A27" s="22">
        <v>8</v>
      </c>
      <c r="B27" s="164" t="s">
        <v>59</v>
      </c>
      <c r="C27" s="165"/>
      <c r="D27" s="165"/>
      <c r="E27" s="165"/>
      <c r="F27" s="189"/>
      <c r="G27" s="26" t="s">
        <v>84</v>
      </c>
      <c r="H27" s="24">
        <v>200</v>
      </c>
      <c r="I27" s="24">
        <v>200</v>
      </c>
      <c r="J27" s="27">
        <v>100</v>
      </c>
      <c r="K27" s="19"/>
    </row>
    <row r="28" spans="1:26" ht="14.25" customHeight="1" x14ac:dyDescent="0.2">
      <c r="A28" s="22">
        <v>9</v>
      </c>
      <c r="B28" s="164" t="s">
        <v>192</v>
      </c>
      <c r="C28" s="165"/>
      <c r="D28" s="165"/>
      <c r="E28" s="165"/>
      <c r="F28" s="189"/>
      <c r="G28" s="26" t="s">
        <v>84</v>
      </c>
      <c r="H28" s="24">
        <v>500</v>
      </c>
      <c r="I28" s="24">
        <v>500</v>
      </c>
      <c r="J28" s="27"/>
      <c r="K28" s="19"/>
    </row>
    <row r="29" spans="1:26" ht="15.75" customHeight="1" x14ac:dyDescent="0.2">
      <c r="A29" s="22">
        <v>10</v>
      </c>
      <c r="B29" s="171" t="s">
        <v>200</v>
      </c>
      <c r="C29" s="165"/>
      <c r="D29" s="165"/>
      <c r="E29" s="165"/>
      <c r="F29" s="189"/>
      <c r="G29" s="32" t="s">
        <v>84</v>
      </c>
      <c r="H29" s="33">
        <v>400</v>
      </c>
      <c r="I29" s="33">
        <v>400</v>
      </c>
      <c r="J29" s="27"/>
      <c r="K29" s="19"/>
      <c r="L29" s="38" t="s">
        <v>54</v>
      </c>
      <c r="M29" s="39" t="s">
        <v>55</v>
      </c>
      <c r="N29" s="40" t="s">
        <v>56</v>
      </c>
    </row>
    <row r="30" spans="1:26" ht="15" customHeight="1" x14ac:dyDescent="0.2">
      <c r="A30" s="22"/>
      <c r="B30" s="166"/>
      <c r="C30" s="165"/>
      <c r="D30" s="165"/>
      <c r="E30" s="165"/>
      <c r="F30" s="189"/>
      <c r="G30" s="26"/>
      <c r="H30" s="24"/>
      <c r="I30" s="24"/>
      <c r="J30" s="27"/>
      <c r="K30" s="19"/>
      <c r="L30" s="41">
        <f>I33</f>
        <v>7737</v>
      </c>
      <c r="M30" s="42">
        <f>SUM(J16:J30)</f>
        <v>1172</v>
      </c>
      <c r="N30" s="43">
        <f>L30-M30</f>
        <v>6565</v>
      </c>
    </row>
    <row r="31" spans="1:26" ht="27.75" customHeight="1" x14ac:dyDescent="0.2">
      <c r="A31" s="52"/>
      <c r="B31" s="167" t="s">
        <v>61</v>
      </c>
      <c r="C31" s="168"/>
      <c r="D31" s="168"/>
      <c r="E31" s="168"/>
      <c r="F31" s="169"/>
      <c r="G31" s="170" t="s">
        <v>62</v>
      </c>
      <c r="H31" s="168"/>
      <c r="I31" s="53">
        <f>SUM(I15:I30)</f>
        <v>7737</v>
      </c>
      <c r="J31" s="54"/>
      <c r="K31" s="12" t="s">
        <v>63</v>
      </c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24" hidden="1" customHeight="1" x14ac:dyDescent="0.2">
      <c r="A32" s="14"/>
      <c r="B32" s="7"/>
      <c r="C32" s="7"/>
      <c r="D32" s="7"/>
      <c r="E32" s="7"/>
      <c r="F32" s="7"/>
      <c r="G32" s="170" t="s">
        <v>95</v>
      </c>
      <c r="H32" s="168"/>
      <c r="I32" s="60"/>
      <c r="K32" s="12" t="s">
        <v>65</v>
      </c>
    </row>
    <row r="33" spans="1:11" ht="24" customHeight="1" x14ac:dyDescent="0.2">
      <c r="A33" s="14"/>
      <c r="B33" s="7"/>
      <c r="C33" s="7"/>
      <c r="D33" s="7"/>
      <c r="E33" s="7"/>
      <c r="F33" s="7"/>
      <c r="G33" s="162" t="s">
        <v>193</v>
      </c>
      <c r="H33" s="163"/>
      <c r="I33" s="55">
        <f>I31+I32</f>
        <v>7737</v>
      </c>
    </row>
    <row r="34" spans="1:11" ht="24" customHeight="1" x14ac:dyDescent="0.2">
      <c r="A34" s="14"/>
      <c r="B34" s="7"/>
      <c r="C34" s="7"/>
      <c r="D34" s="7"/>
      <c r="E34" s="7"/>
      <c r="F34" s="7"/>
      <c r="G34" s="56"/>
      <c r="H34" s="56"/>
      <c r="I34" s="57"/>
    </row>
    <row r="35" spans="1:11" ht="14.25" customHeight="1" x14ac:dyDescent="0.2">
      <c r="A35" s="14"/>
      <c r="B35" s="171"/>
      <c r="C35" s="165"/>
      <c r="D35" s="165"/>
      <c r="E35" s="165"/>
      <c r="F35" s="165"/>
      <c r="G35" s="165"/>
      <c r="H35" s="165"/>
      <c r="I35" s="165"/>
      <c r="K35" s="12" t="s">
        <v>68</v>
      </c>
    </row>
    <row r="36" spans="1:11" ht="14.25" customHeight="1" x14ac:dyDescent="0.2">
      <c r="A36" s="14"/>
      <c r="B36" s="165"/>
      <c r="C36" s="165"/>
      <c r="D36" s="165"/>
      <c r="E36" s="165"/>
      <c r="F36" s="165"/>
      <c r="G36" s="165"/>
      <c r="H36" s="165"/>
      <c r="I36" s="165"/>
      <c r="K36" s="12"/>
    </row>
    <row r="37" spans="1:11" ht="14.25" customHeight="1" x14ac:dyDescent="0.2">
      <c r="A37" s="14"/>
      <c r="B37" s="46" t="s">
        <v>69</v>
      </c>
    </row>
    <row r="38" spans="1:11" ht="14.25" customHeight="1" x14ac:dyDescent="0.2">
      <c r="A38" s="14"/>
      <c r="B38" s="20"/>
      <c r="C38" s="20"/>
      <c r="D38" s="20"/>
      <c r="E38" s="20"/>
      <c r="F38" s="20"/>
      <c r="G38" s="20"/>
      <c r="H38" s="20"/>
      <c r="I38" s="20"/>
    </row>
    <row r="39" spans="1:11" ht="14.25" customHeight="1" x14ac:dyDescent="0.2">
      <c r="A39" s="14"/>
      <c r="B39" s="58"/>
    </row>
    <row r="40" spans="1:11" ht="116.25" customHeight="1" x14ac:dyDescent="0.2">
      <c r="A40" s="14"/>
      <c r="B40" s="7"/>
      <c r="C40" s="7"/>
      <c r="D40" s="7"/>
      <c r="E40" s="7"/>
      <c r="F40" s="7"/>
      <c r="G40" s="164" t="s">
        <v>70</v>
      </c>
      <c r="H40" s="165"/>
      <c r="I40" s="165"/>
    </row>
    <row r="41" spans="1:11" ht="14.25" customHeight="1" x14ac:dyDescent="0.2">
      <c r="A41" s="14"/>
      <c r="B41" s="7"/>
      <c r="C41" s="7"/>
      <c r="D41" s="7"/>
      <c r="E41" s="7"/>
      <c r="F41" s="7"/>
      <c r="G41" s="165"/>
      <c r="H41" s="165"/>
      <c r="I41" s="165"/>
      <c r="K41" s="12" t="s">
        <v>71</v>
      </c>
    </row>
    <row r="42" spans="1:11" ht="14.25" customHeight="1" x14ac:dyDescent="0.2">
      <c r="A42" s="14"/>
      <c r="B42" s="59"/>
      <c r="C42" s="59"/>
      <c r="D42" s="59"/>
      <c r="E42" s="59"/>
      <c r="F42" s="59"/>
      <c r="G42" s="59"/>
      <c r="H42" s="59"/>
      <c r="I42" s="59"/>
      <c r="K42" s="12"/>
    </row>
    <row r="43" spans="1:11" ht="14.25" customHeight="1" x14ac:dyDescent="0.2">
      <c r="A43" s="14"/>
    </row>
    <row r="44" spans="1:11" ht="14.25" customHeight="1" x14ac:dyDescent="0.2">
      <c r="A44" s="14"/>
    </row>
    <row r="45" spans="1:11" ht="14.25" customHeight="1" x14ac:dyDescent="0.2">
      <c r="A45" s="14"/>
    </row>
    <row r="46" spans="1:11" ht="14.25" customHeight="1" x14ac:dyDescent="0.2">
      <c r="A46" s="14"/>
    </row>
    <row r="47" spans="1:11" ht="14.25" customHeight="1" x14ac:dyDescent="0.2">
      <c r="A47" s="14"/>
    </row>
    <row r="48" spans="1:11" ht="14.25" customHeight="1" x14ac:dyDescent="0.2">
      <c r="A48" s="14"/>
    </row>
    <row r="49" spans="1:1" ht="14.25" customHeight="1" x14ac:dyDescent="0.2">
      <c r="A49" s="14"/>
    </row>
    <row r="50" spans="1:1" ht="14.25" customHeight="1" x14ac:dyDescent="0.2">
      <c r="A50" s="14"/>
    </row>
    <row r="51" spans="1:1" ht="14.25" customHeight="1" x14ac:dyDescent="0.2">
      <c r="A51" s="14"/>
    </row>
    <row r="52" spans="1:1" ht="14.25" customHeight="1" x14ac:dyDescent="0.2">
      <c r="A52" s="14"/>
    </row>
    <row r="53" spans="1:1" ht="14.25" customHeight="1" x14ac:dyDescent="0.2">
      <c r="A53" s="14"/>
    </row>
    <row r="54" spans="1:1" ht="14.25" customHeight="1" x14ac:dyDescent="0.2">
      <c r="A54" s="14"/>
    </row>
    <row r="55" spans="1:1" ht="14.25" customHeight="1" x14ac:dyDescent="0.2">
      <c r="A55" s="14"/>
    </row>
    <row r="56" spans="1:1" ht="14.25" customHeight="1" x14ac:dyDescent="0.2">
      <c r="A56" s="14"/>
    </row>
    <row r="57" spans="1:1" ht="14.25" customHeight="1" x14ac:dyDescent="0.2">
      <c r="A57" s="14"/>
    </row>
    <row r="58" spans="1:1" ht="14.25" customHeight="1" x14ac:dyDescent="0.2">
      <c r="A58" s="14"/>
    </row>
    <row r="59" spans="1:1" ht="14.25" customHeight="1" x14ac:dyDescent="0.2">
      <c r="A59" s="14"/>
    </row>
    <row r="60" spans="1:1" ht="14.25" customHeight="1" x14ac:dyDescent="0.2">
      <c r="A60" s="14"/>
    </row>
    <row r="61" spans="1:1" ht="14.25" customHeight="1" x14ac:dyDescent="0.2">
      <c r="A61" s="14"/>
    </row>
    <row r="62" spans="1:1" ht="14.25" customHeight="1" x14ac:dyDescent="0.2">
      <c r="A62" s="14"/>
    </row>
    <row r="63" spans="1:1" ht="14.25" customHeight="1" x14ac:dyDescent="0.2">
      <c r="A63" s="14"/>
    </row>
    <row r="64" spans="1:1" ht="14.25" customHeight="1" x14ac:dyDescent="0.2">
      <c r="A64" s="14"/>
    </row>
    <row r="65" spans="1:1" ht="14.25" customHeight="1" x14ac:dyDescent="0.2">
      <c r="A65" s="14"/>
    </row>
    <row r="66" spans="1:1" ht="14.25" customHeight="1" x14ac:dyDescent="0.2">
      <c r="A66" s="14"/>
    </row>
    <row r="67" spans="1:1" ht="14.25" customHeight="1" x14ac:dyDescent="0.2">
      <c r="A67" s="14"/>
    </row>
    <row r="68" spans="1:1" ht="14.25" customHeight="1" x14ac:dyDescent="0.2">
      <c r="A68" s="14"/>
    </row>
    <row r="69" spans="1:1" ht="14.25" customHeight="1" x14ac:dyDescent="0.2">
      <c r="A69" s="14"/>
    </row>
    <row r="70" spans="1:1" ht="14.25" customHeight="1" x14ac:dyDescent="0.2">
      <c r="A70" s="14"/>
    </row>
    <row r="71" spans="1:1" ht="14.25" customHeight="1" x14ac:dyDescent="0.2">
      <c r="A71" s="14"/>
    </row>
    <row r="72" spans="1:1" ht="14.25" customHeight="1" x14ac:dyDescent="0.2">
      <c r="A72" s="14"/>
    </row>
    <row r="73" spans="1:1" ht="14.25" customHeight="1" x14ac:dyDescent="0.2">
      <c r="A73" s="14"/>
    </row>
    <row r="74" spans="1:1" ht="14.25" customHeight="1" x14ac:dyDescent="0.2">
      <c r="A74" s="14"/>
    </row>
    <row r="75" spans="1:1" ht="14.25" customHeight="1" x14ac:dyDescent="0.2">
      <c r="A75" s="14"/>
    </row>
    <row r="76" spans="1:1" ht="14.25" customHeight="1" x14ac:dyDescent="0.2">
      <c r="A76" s="14"/>
    </row>
    <row r="77" spans="1:1" ht="14.25" customHeight="1" x14ac:dyDescent="0.2">
      <c r="A77" s="14"/>
    </row>
    <row r="78" spans="1:1" ht="14.25" customHeight="1" x14ac:dyDescent="0.2">
      <c r="A78" s="14"/>
    </row>
    <row r="79" spans="1:1" ht="14.25" customHeight="1" x14ac:dyDescent="0.2">
      <c r="A79" s="14"/>
    </row>
    <row r="80" spans="1:1" ht="14.25" customHeight="1" x14ac:dyDescent="0.2">
      <c r="A80" s="14"/>
    </row>
    <row r="81" spans="1:1" ht="14.25" customHeight="1" x14ac:dyDescent="0.2">
      <c r="A81" s="14"/>
    </row>
    <row r="82" spans="1:1" ht="14.25" customHeight="1" x14ac:dyDescent="0.2">
      <c r="A82" s="14"/>
    </row>
    <row r="83" spans="1:1" ht="14.25" customHeight="1" x14ac:dyDescent="0.2">
      <c r="A83" s="14"/>
    </row>
    <row r="84" spans="1:1" ht="14.25" customHeight="1" x14ac:dyDescent="0.2">
      <c r="A84" s="14"/>
    </row>
    <row r="85" spans="1:1" ht="14.25" customHeight="1" x14ac:dyDescent="0.2">
      <c r="A85" s="14"/>
    </row>
    <row r="86" spans="1:1" ht="14.25" customHeight="1" x14ac:dyDescent="0.2">
      <c r="A86" s="14"/>
    </row>
    <row r="87" spans="1:1" ht="14.25" customHeight="1" x14ac:dyDescent="0.2">
      <c r="A87" s="14"/>
    </row>
    <row r="88" spans="1:1" ht="14.25" customHeight="1" x14ac:dyDescent="0.2">
      <c r="A88" s="14"/>
    </row>
    <row r="89" spans="1:1" ht="14.25" customHeight="1" x14ac:dyDescent="0.2">
      <c r="A89" s="14"/>
    </row>
    <row r="90" spans="1:1" ht="14.25" customHeight="1" x14ac:dyDescent="0.2">
      <c r="A90" s="14"/>
    </row>
    <row r="91" spans="1:1" ht="14.25" customHeight="1" x14ac:dyDescent="0.2">
      <c r="A91" s="14"/>
    </row>
    <row r="92" spans="1:1" ht="14.25" customHeight="1" x14ac:dyDescent="0.2">
      <c r="A92" s="14"/>
    </row>
    <row r="93" spans="1:1" ht="14.25" customHeight="1" x14ac:dyDescent="0.2">
      <c r="A93" s="14"/>
    </row>
    <row r="94" spans="1:1" ht="14.25" customHeight="1" x14ac:dyDescent="0.2">
      <c r="A94" s="14"/>
    </row>
    <row r="95" spans="1:1" ht="14.25" customHeight="1" x14ac:dyDescent="0.2">
      <c r="A95" s="14"/>
    </row>
    <row r="96" spans="1:1" ht="14.25" customHeight="1" x14ac:dyDescent="0.2">
      <c r="A96" s="14"/>
    </row>
    <row r="97" spans="1:1" ht="14.25" customHeight="1" x14ac:dyDescent="0.2">
      <c r="A97" s="14"/>
    </row>
    <row r="98" spans="1:1" ht="14.25" customHeight="1" x14ac:dyDescent="0.2">
      <c r="A98" s="14"/>
    </row>
    <row r="99" spans="1:1" ht="14.25" customHeight="1" x14ac:dyDescent="0.2">
      <c r="A99" s="14"/>
    </row>
    <row r="100" spans="1:1" ht="14.25" customHeight="1" x14ac:dyDescent="0.2">
      <c r="A100" s="14"/>
    </row>
    <row r="101" spans="1:1" ht="14.25" customHeight="1" x14ac:dyDescent="0.2">
      <c r="A101" s="14"/>
    </row>
    <row r="102" spans="1:1" ht="14.25" customHeight="1" x14ac:dyDescent="0.2">
      <c r="A102" s="14"/>
    </row>
    <row r="103" spans="1:1" ht="14.25" customHeight="1" x14ac:dyDescent="0.2">
      <c r="A103" s="14"/>
    </row>
    <row r="104" spans="1:1" ht="14.25" customHeight="1" x14ac:dyDescent="0.2">
      <c r="A104" s="14"/>
    </row>
    <row r="105" spans="1:1" ht="14.25" customHeight="1" x14ac:dyDescent="0.2">
      <c r="A105" s="14"/>
    </row>
    <row r="106" spans="1:1" ht="14.25" customHeight="1" x14ac:dyDescent="0.2">
      <c r="A106" s="14"/>
    </row>
    <row r="107" spans="1:1" ht="14.25" customHeight="1" x14ac:dyDescent="0.2">
      <c r="A107" s="14"/>
    </row>
    <row r="108" spans="1:1" ht="14.25" customHeight="1" x14ac:dyDescent="0.2">
      <c r="A108" s="14"/>
    </row>
    <row r="109" spans="1:1" ht="14.25" customHeight="1" x14ac:dyDescent="0.2">
      <c r="A109" s="14"/>
    </row>
    <row r="110" spans="1:1" ht="14.25" customHeight="1" x14ac:dyDescent="0.2">
      <c r="A110" s="14"/>
    </row>
    <row r="111" spans="1:1" ht="14.25" customHeight="1" x14ac:dyDescent="0.2">
      <c r="A111" s="14"/>
    </row>
    <row r="112" spans="1:1" ht="14.25" customHeight="1" x14ac:dyDescent="0.2">
      <c r="A112" s="14"/>
    </row>
    <row r="113" spans="1:1" ht="14.25" customHeight="1" x14ac:dyDescent="0.2">
      <c r="A113" s="14"/>
    </row>
    <row r="114" spans="1:1" ht="14.25" customHeight="1" x14ac:dyDescent="0.2">
      <c r="A114" s="14"/>
    </row>
    <row r="115" spans="1:1" ht="14.25" customHeight="1" x14ac:dyDescent="0.2">
      <c r="A115" s="14"/>
    </row>
    <row r="116" spans="1:1" ht="14.25" customHeight="1" x14ac:dyDescent="0.2">
      <c r="A116" s="14"/>
    </row>
    <row r="117" spans="1:1" ht="14.25" customHeight="1" x14ac:dyDescent="0.2">
      <c r="A117" s="14"/>
    </row>
    <row r="118" spans="1:1" ht="14.25" customHeight="1" x14ac:dyDescent="0.2">
      <c r="A118" s="14"/>
    </row>
    <row r="119" spans="1:1" ht="14.25" customHeight="1" x14ac:dyDescent="0.2">
      <c r="A119" s="14"/>
    </row>
    <row r="120" spans="1:1" ht="14.25" customHeight="1" x14ac:dyDescent="0.2">
      <c r="A120" s="14"/>
    </row>
    <row r="121" spans="1:1" ht="14.25" customHeight="1" x14ac:dyDescent="0.2">
      <c r="A121" s="14"/>
    </row>
    <row r="122" spans="1:1" ht="14.25" customHeight="1" x14ac:dyDescent="0.2">
      <c r="A122" s="14"/>
    </row>
    <row r="123" spans="1:1" ht="14.25" customHeight="1" x14ac:dyDescent="0.2">
      <c r="A123" s="14"/>
    </row>
    <row r="124" spans="1:1" ht="14.25" customHeight="1" x14ac:dyDescent="0.2">
      <c r="A124" s="14"/>
    </row>
    <row r="125" spans="1:1" ht="14.25" customHeight="1" x14ac:dyDescent="0.2">
      <c r="A125" s="14"/>
    </row>
    <row r="126" spans="1:1" ht="14.25" customHeight="1" x14ac:dyDescent="0.2">
      <c r="A126" s="14"/>
    </row>
    <row r="127" spans="1:1" ht="14.25" customHeight="1" x14ac:dyDescent="0.2">
      <c r="A127" s="14"/>
    </row>
    <row r="128" spans="1:1" ht="14.25" customHeight="1" x14ac:dyDescent="0.2">
      <c r="A128" s="14"/>
    </row>
    <row r="129" spans="1:1" ht="14.25" customHeight="1" x14ac:dyDescent="0.2">
      <c r="A129" s="14"/>
    </row>
    <row r="130" spans="1:1" ht="14.25" customHeight="1" x14ac:dyDescent="0.2">
      <c r="A130" s="14"/>
    </row>
    <row r="131" spans="1:1" ht="14.25" customHeight="1" x14ac:dyDescent="0.2">
      <c r="A131" s="14"/>
    </row>
    <row r="132" spans="1:1" ht="14.25" customHeight="1" x14ac:dyDescent="0.2">
      <c r="A132" s="14"/>
    </row>
    <row r="133" spans="1:1" ht="14.25" customHeight="1" x14ac:dyDescent="0.2">
      <c r="A133" s="14"/>
    </row>
    <row r="134" spans="1:1" ht="14.25" customHeight="1" x14ac:dyDescent="0.2">
      <c r="A134" s="14"/>
    </row>
    <row r="135" spans="1:1" ht="14.25" customHeight="1" x14ac:dyDescent="0.2">
      <c r="A135" s="14"/>
    </row>
    <row r="136" spans="1:1" ht="14.25" customHeight="1" x14ac:dyDescent="0.2">
      <c r="A136" s="14"/>
    </row>
    <row r="137" spans="1:1" ht="14.25" customHeight="1" x14ac:dyDescent="0.2">
      <c r="A137" s="14"/>
    </row>
    <row r="138" spans="1:1" ht="14.25" customHeight="1" x14ac:dyDescent="0.2">
      <c r="A138" s="14"/>
    </row>
    <row r="139" spans="1:1" ht="14.25" customHeight="1" x14ac:dyDescent="0.2">
      <c r="A139" s="14"/>
    </row>
    <row r="140" spans="1:1" ht="14.25" customHeight="1" x14ac:dyDescent="0.2">
      <c r="A140" s="14"/>
    </row>
    <row r="141" spans="1:1" ht="14.25" customHeight="1" x14ac:dyDescent="0.2">
      <c r="A141" s="14"/>
    </row>
    <row r="142" spans="1:1" ht="14.25" customHeight="1" x14ac:dyDescent="0.2">
      <c r="A142" s="14"/>
    </row>
    <row r="143" spans="1:1" ht="14.25" customHeight="1" x14ac:dyDescent="0.2">
      <c r="A143" s="14"/>
    </row>
    <row r="144" spans="1:1" ht="14.25" customHeight="1" x14ac:dyDescent="0.2">
      <c r="A144" s="14"/>
    </row>
    <row r="145" spans="1:1" ht="14.25" customHeight="1" x14ac:dyDescent="0.2">
      <c r="A145" s="14"/>
    </row>
    <row r="146" spans="1:1" ht="14.25" customHeight="1" x14ac:dyDescent="0.2">
      <c r="A146" s="14"/>
    </row>
    <row r="147" spans="1:1" ht="14.25" customHeight="1" x14ac:dyDescent="0.2">
      <c r="A147" s="14"/>
    </row>
    <row r="148" spans="1:1" ht="14.25" customHeight="1" x14ac:dyDescent="0.2">
      <c r="A148" s="14"/>
    </row>
    <row r="149" spans="1:1" ht="14.25" customHeight="1" x14ac:dyDescent="0.2">
      <c r="A149" s="14"/>
    </row>
    <row r="150" spans="1:1" ht="14.25" customHeight="1" x14ac:dyDescent="0.2">
      <c r="A150" s="14"/>
    </row>
    <row r="151" spans="1:1" ht="14.25" customHeight="1" x14ac:dyDescent="0.2">
      <c r="A151" s="14"/>
    </row>
    <row r="152" spans="1:1" ht="14.25" customHeight="1" x14ac:dyDescent="0.2">
      <c r="A152" s="14"/>
    </row>
    <row r="153" spans="1:1" ht="14.25" customHeight="1" x14ac:dyDescent="0.2">
      <c r="A153" s="14"/>
    </row>
    <row r="154" spans="1:1" ht="14.25" customHeight="1" x14ac:dyDescent="0.2">
      <c r="A154" s="14"/>
    </row>
    <row r="155" spans="1:1" ht="14.25" customHeight="1" x14ac:dyDescent="0.2">
      <c r="A155" s="14"/>
    </row>
    <row r="156" spans="1:1" ht="14.25" customHeight="1" x14ac:dyDescent="0.2">
      <c r="A156" s="14"/>
    </row>
    <row r="157" spans="1:1" ht="14.25" customHeight="1" x14ac:dyDescent="0.2">
      <c r="A157" s="14"/>
    </row>
    <row r="158" spans="1:1" ht="14.25" customHeight="1" x14ac:dyDescent="0.2">
      <c r="A158" s="14"/>
    </row>
    <row r="159" spans="1:1" ht="14.25" customHeight="1" x14ac:dyDescent="0.2">
      <c r="A159" s="14"/>
    </row>
    <row r="160" spans="1:1" ht="14.25" customHeight="1" x14ac:dyDescent="0.2">
      <c r="A160" s="14"/>
    </row>
    <row r="161" spans="1:1" ht="14.25" customHeight="1" x14ac:dyDescent="0.2">
      <c r="A161" s="14"/>
    </row>
    <row r="162" spans="1:1" ht="14.25" customHeight="1" x14ac:dyDescent="0.2">
      <c r="A162" s="14"/>
    </row>
    <row r="163" spans="1:1" ht="14.25" customHeight="1" x14ac:dyDescent="0.2">
      <c r="A163" s="14"/>
    </row>
    <row r="164" spans="1:1" ht="14.25" customHeight="1" x14ac:dyDescent="0.2">
      <c r="A164" s="14"/>
    </row>
    <row r="165" spans="1:1" ht="14.25" customHeight="1" x14ac:dyDescent="0.2">
      <c r="A165" s="14"/>
    </row>
    <row r="166" spans="1:1" ht="14.25" customHeight="1" x14ac:dyDescent="0.2">
      <c r="A166" s="14"/>
    </row>
    <row r="167" spans="1:1" ht="14.25" customHeight="1" x14ac:dyDescent="0.2">
      <c r="A167" s="14"/>
    </row>
    <row r="168" spans="1:1" ht="14.25" customHeight="1" x14ac:dyDescent="0.2">
      <c r="A168" s="14"/>
    </row>
    <row r="169" spans="1:1" ht="14.25" customHeight="1" x14ac:dyDescent="0.2">
      <c r="A169" s="14"/>
    </row>
    <row r="170" spans="1:1" ht="14.25" customHeight="1" x14ac:dyDescent="0.2">
      <c r="A170" s="14"/>
    </row>
    <row r="171" spans="1:1" ht="14.25" customHeight="1" x14ac:dyDescent="0.2">
      <c r="A171" s="14"/>
    </row>
    <row r="172" spans="1:1" ht="14.25" customHeight="1" x14ac:dyDescent="0.2">
      <c r="A172" s="14"/>
    </row>
    <row r="173" spans="1:1" ht="14.25" customHeight="1" x14ac:dyDescent="0.2">
      <c r="A173" s="14"/>
    </row>
    <row r="174" spans="1:1" ht="14.25" customHeight="1" x14ac:dyDescent="0.2">
      <c r="A174" s="14"/>
    </row>
    <row r="175" spans="1:1" ht="14.25" customHeight="1" x14ac:dyDescent="0.2">
      <c r="A175" s="14"/>
    </row>
    <row r="176" spans="1:1" ht="14.25" customHeight="1" x14ac:dyDescent="0.2">
      <c r="A176" s="14"/>
    </row>
    <row r="177" spans="1:1" ht="14.25" customHeight="1" x14ac:dyDescent="0.2">
      <c r="A177" s="14"/>
    </row>
    <row r="178" spans="1:1" ht="14.25" customHeight="1" x14ac:dyDescent="0.2">
      <c r="A178" s="14"/>
    </row>
    <row r="179" spans="1:1" ht="14.25" customHeight="1" x14ac:dyDescent="0.2">
      <c r="A179" s="14"/>
    </row>
    <row r="180" spans="1:1" ht="14.25" customHeight="1" x14ac:dyDescent="0.2">
      <c r="A180" s="14"/>
    </row>
    <row r="181" spans="1:1" ht="14.25" customHeight="1" x14ac:dyDescent="0.2">
      <c r="A181" s="14"/>
    </row>
    <row r="182" spans="1:1" ht="14.25" customHeight="1" x14ac:dyDescent="0.2">
      <c r="A182" s="14"/>
    </row>
    <row r="183" spans="1:1" ht="14.25" customHeight="1" x14ac:dyDescent="0.2">
      <c r="A183" s="14"/>
    </row>
    <row r="184" spans="1:1" ht="14.25" customHeight="1" x14ac:dyDescent="0.2">
      <c r="A184" s="14"/>
    </row>
    <row r="185" spans="1:1" ht="14.25" customHeight="1" x14ac:dyDescent="0.2">
      <c r="A185" s="14"/>
    </row>
    <row r="186" spans="1:1" ht="14.25" customHeight="1" x14ac:dyDescent="0.2">
      <c r="A186" s="14"/>
    </row>
    <row r="187" spans="1:1" ht="14.25" customHeight="1" x14ac:dyDescent="0.2">
      <c r="A187" s="14"/>
    </row>
    <row r="188" spans="1:1" ht="14.25" customHeight="1" x14ac:dyDescent="0.2">
      <c r="A188" s="14"/>
    </row>
    <row r="189" spans="1:1" ht="14.25" customHeight="1" x14ac:dyDescent="0.2">
      <c r="A189" s="14"/>
    </row>
    <row r="190" spans="1:1" ht="14.25" customHeight="1" x14ac:dyDescent="0.2">
      <c r="A190" s="14"/>
    </row>
    <row r="191" spans="1:1" ht="14.25" customHeight="1" x14ac:dyDescent="0.2">
      <c r="A191" s="14"/>
    </row>
    <row r="192" spans="1:1" ht="14.25" customHeight="1" x14ac:dyDescent="0.2">
      <c r="A192" s="14"/>
    </row>
    <row r="193" spans="1:1" ht="14.25" customHeight="1" x14ac:dyDescent="0.2">
      <c r="A193" s="14"/>
    </row>
    <row r="194" spans="1:1" ht="14.25" customHeight="1" x14ac:dyDescent="0.2">
      <c r="A194" s="14"/>
    </row>
    <row r="195" spans="1:1" ht="14.25" customHeight="1" x14ac:dyDescent="0.2">
      <c r="A195" s="14"/>
    </row>
    <row r="196" spans="1:1" ht="14.25" customHeight="1" x14ac:dyDescent="0.2">
      <c r="A196" s="14"/>
    </row>
    <row r="197" spans="1:1" ht="14.25" customHeight="1" x14ac:dyDescent="0.2">
      <c r="A197" s="14"/>
    </row>
    <row r="198" spans="1:1" ht="14.25" customHeight="1" x14ac:dyDescent="0.2">
      <c r="A198" s="14"/>
    </row>
    <row r="199" spans="1:1" ht="14.25" customHeight="1" x14ac:dyDescent="0.2">
      <c r="A199" s="14"/>
    </row>
    <row r="200" spans="1:1" ht="14.25" customHeight="1" x14ac:dyDescent="0.2">
      <c r="A200" s="14"/>
    </row>
    <row r="201" spans="1:1" ht="14.25" customHeight="1" x14ac:dyDescent="0.2">
      <c r="A201" s="14"/>
    </row>
    <row r="202" spans="1:1" ht="14.25" customHeight="1" x14ac:dyDescent="0.2">
      <c r="A202" s="14"/>
    </row>
    <row r="203" spans="1:1" ht="14.25" customHeight="1" x14ac:dyDescent="0.2">
      <c r="A203" s="14"/>
    </row>
    <row r="204" spans="1:1" ht="14.25" customHeight="1" x14ac:dyDescent="0.2">
      <c r="A204" s="14"/>
    </row>
    <row r="205" spans="1:1" ht="14.25" customHeight="1" x14ac:dyDescent="0.2">
      <c r="A205" s="14"/>
    </row>
    <row r="206" spans="1:1" ht="14.25" customHeight="1" x14ac:dyDescent="0.2">
      <c r="A206" s="14"/>
    </row>
    <row r="207" spans="1:1" ht="14.25" customHeight="1" x14ac:dyDescent="0.2">
      <c r="A207" s="14"/>
    </row>
    <row r="208" spans="1:1" ht="14.25" customHeight="1" x14ac:dyDescent="0.2">
      <c r="A208" s="14"/>
    </row>
    <row r="209" spans="1:1" ht="14.25" customHeight="1" x14ac:dyDescent="0.2">
      <c r="A209" s="14"/>
    </row>
    <row r="210" spans="1:1" ht="14.25" customHeight="1" x14ac:dyDescent="0.2">
      <c r="A210" s="14"/>
    </row>
    <row r="211" spans="1:1" ht="14.25" customHeight="1" x14ac:dyDescent="0.2">
      <c r="A211" s="14"/>
    </row>
    <row r="212" spans="1:1" ht="14.25" customHeight="1" x14ac:dyDescent="0.2">
      <c r="A212" s="14"/>
    </row>
    <row r="213" spans="1:1" ht="14.25" customHeight="1" x14ac:dyDescent="0.2">
      <c r="A213" s="14"/>
    </row>
    <row r="214" spans="1:1" ht="14.25" customHeight="1" x14ac:dyDescent="0.2">
      <c r="A214" s="14"/>
    </row>
    <row r="215" spans="1:1" ht="14.25" customHeight="1" x14ac:dyDescent="0.2">
      <c r="A215" s="14"/>
    </row>
    <row r="216" spans="1:1" ht="14.25" customHeight="1" x14ac:dyDescent="0.2">
      <c r="A216" s="14"/>
    </row>
    <row r="217" spans="1:1" ht="14.25" customHeight="1" x14ac:dyDescent="0.2">
      <c r="A217" s="14"/>
    </row>
    <row r="218" spans="1:1" ht="14.25" customHeight="1" x14ac:dyDescent="0.2">
      <c r="A218" s="14"/>
    </row>
    <row r="219" spans="1:1" ht="14.25" customHeight="1" x14ac:dyDescent="0.2">
      <c r="A219" s="14"/>
    </row>
    <row r="220" spans="1:1" ht="14.25" customHeight="1" x14ac:dyDescent="0.2">
      <c r="A220" s="14"/>
    </row>
    <row r="221" spans="1:1" ht="14.25" customHeight="1" x14ac:dyDescent="0.2">
      <c r="A221" s="14"/>
    </row>
    <row r="222" spans="1:1" ht="14.25" customHeight="1" x14ac:dyDescent="0.2">
      <c r="A222" s="14"/>
    </row>
    <row r="223" spans="1:1" ht="14.25" customHeight="1" x14ac:dyDescent="0.2">
      <c r="A223" s="14"/>
    </row>
    <row r="224" spans="1:1" ht="14.25" customHeight="1" x14ac:dyDescent="0.2">
      <c r="A224" s="14"/>
    </row>
    <row r="225" spans="1:1" ht="14.25" customHeight="1" x14ac:dyDescent="0.2">
      <c r="A225" s="14"/>
    </row>
    <row r="226" spans="1:1" ht="14.25" customHeight="1" x14ac:dyDescent="0.2">
      <c r="A226" s="14"/>
    </row>
    <row r="227" spans="1:1" ht="14.25" customHeight="1" x14ac:dyDescent="0.2">
      <c r="A227" s="14"/>
    </row>
    <row r="228" spans="1:1" ht="14.25" customHeight="1" x14ac:dyDescent="0.2">
      <c r="A228" s="14"/>
    </row>
    <row r="229" spans="1:1" ht="14.25" customHeight="1" x14ac:dyDescent="0.2">
      <c r="A229" s="14"/>
    </row>
    <row r="230" spans="1:1" ht="14.25" customHeight="1" x14ac:dyDescent="0.2">
      <c r="A230" s="14"/>
    </row>
    <row r="231" spans="1:1" ht="14.25" customHeight="1" x14ac:dyDescent="0.2">
      <c r="A231" s="14"/>
    </row>
    <row r="232" spans="1:1" ht="14.25" customHeight="1" x14ac:dyDescent="0.2">
      <c r="A232" s="14"/>
    </row>
    <row r="233" spans="1:1" ht="14.25" customHeight="1" x14ac:dyDescent="0.2">
      <c r="A233" s="14"/>
    </row>
    <row r="234" spans="1:1" ht="14.25" customHeight="1" x14ac:dyDescent="0.2">
      <c r="A234" s="14"/>
    </row>
    <row r="235" spans="1:1" ht="14.25" customHeight="1" x14ac:dyDescent="0.2">
      <c r="A235" s="14"/>
    </row>
    <row r="236" spans="1:1" ht="14.25" customHeight="1" x14ac:dyDescent="0.2">
      <c r="A236" s="14"/>
    </row>
    <row r="237" spans="1:1" ht="14.25" customHeight="1" x14ac:dyDescent="0.2">
      <c r="A237" s="14"/>
    </row>
    <row r="238" spans="1:1" ht="14.25" customHeight="1" x14ac:dyDescent="0.2">
      <c r="A238" s="14"/>
    </row>
    <row r="239" spans="1:1" ht="14.25" customHeight="1" x14ac:dyDescent="0.2">
      <c r="A239" s="14"/>
    </row>
    <row r="240" spans="1:1" ht="14.25" customHeight="1" x14ac:dyDescent="0.2">
      <c r="A240" s="14"/>
    </row>
    <row r="241" spans="1:1" ht="14.25" customHeight="1" x14ac:dyDescent="0.2">
      <c r="A241" s="14"/>
    </row>
    <row r="242" spans="1:1" ht="14.25" customHeight="1" x14ac:dyDescent="0.2">
      <c r="A242" s="14"/>
    </row>
    <row r="243" spans="1:1" ht="14.25" customHeight="1" x14ac:dyDescent="0.2">
      <c r="A243" s="14"/>
    </row>
    <row r="244" spans="1:1" ht="14.25" customHeight="1" x14ac:dyDescent="0.2">
      <c r="A244" s="14"/>
    </row>
    <row r="245" spans="1:1" ht="14.25" customHeight="1" x14ac:dyDescent="0.2">
      <c r="A245" s="14"/>
    </row>
    <row r="246" spans="1:1" ht="14.25" customHeight="1" x14ac:dyDescent="0.2">
      <c r="A246" s="14"/>
    </row>
    <row r="247" spans="1:1" ht="14.25" customHeight="1" x14ac:dyDescent="0.2">
      <c r="A247" s="14"/>
    </row>
    <row r="248" spans="1:1" ht="14.25" customHeight="1" x14ac:dyDescent="0.2">
      <c r="A248" s="14"/>
    </row>
    <row r="249" spans="1:1" ht="14.25" customHeight="1" x14ac:dyDescent="0.2">
      <c r="A249" s="14"/>
    </row>
    <row r="250" spans="1:1" ht="14.25" customHeight="1" x14ac:dyDescent="0.2">
      <c r="A250" s="14"/>
    </row>
    <row r="251" spans="1:1" ht="14.25" customHeight="1" x14ac:dyDescent="0.2">
      <c r="A251" s="14"/>
    </row>
    <row r="252" spans="1:1" ht="14.25" customHeight="1" x14ac:dyDescent="0.2">
      <c r="A252" s="14"/>
    </row>
    <row r="253" spans="1:1" ht="14.25" customHeight="1" x14ac:dyDescent="0.2">
      <c r="A253" s="14"/>
    </row>
    <row r="254" spans="1:1" ht="14.25" customHeight="1" x14ac:dyDescent="0.2">
      <c r="A254" s="14"/>
    </row>
    <row r="255" spans="1:1" ht="14.25" customHeight="1" x14ac:dyDescent="0.2">
      <c r="A255" s="14"/>
    </row>
    <row r="256" spans="1:1" ht="14.25" customHeight="1" x14ac:dyDescent="0.2">
      <c r="A256" s="14"/>
    </row>
    <row r="257" spans="1:1" ht="14.25" customHeight="1" x14ac:dyDescent="0.2">
      <c r="A257" s="14"/>
    </row>
    <row r="258" spans="1:1" ht="14.25" customHeight="1" x14ac:dyDescent="0.2">
      <c r="A258" s="14"/>
    </row>
    <row r="259" spans="1:1" ht="14.25" customHeight="1" x14ac:dyDescent="0.2">
      <c r="A259" s="14"/>
    </row>
    <row r="260" spans="1:1" ht="14.25" customHeight="1" x14ac:dyDescent="0.2">
      <c r="A260" s="14"/>
    </row>
    <row r="261" spans="1:1" ht="14.25" customHeight="1" x14ac:dyDescent="0.2">
      <c r="A261" s="14"/>
    </row>
    <row r="262" spans="1:1" ht="14.25" customHeight="1" x14ac:dyDescent="0.2">
      <c r="A262" s="14"/>
    </row>
    <row r="263" spans="1:1" ht="14.25" customHeight="1" x14ac:dyDescent="0.2">
      <c r="A263" s="14"/>
    </row>
    <row r="264" spans="1:1" ht="14.25" customHeight="1" x14ac:dyDescent="0.2">
      <c r="A264" s="14"/>
    </row>
    <row r="265" spans="1:1" ht="14.25" customHeight="1" x14ac:dyDescent="0.2">
      <c r="A265" s="14"/>
    </row>
    <row r="266" spans="1:1" ht="14.25" customHeight="1" x14ac:dyDescent="0.2">
      <c r="A266" s="14"/>
    </row>
    <row r="267" spans="1:1" ht="14.25" customHeight="1" x14ac:dyDescent="0.2">
      <c r="A267" s="14"/>
    </row>
    <row r="268" spans="1:1" ht="14.25" customHeight="1" x14ac:dyDescent="0.2">
      <c r="A268" s="14"/>
    </row>
    <row r="269" spans="1:1" ht="14.25" customHeight="1" x14ac:dyDescent="0.2">
      <c r="A269" s="14"/>
    </row>
    <row r="270" spans="1:1" ht="14.25" customHeight="1" x14ac:dyDescent="0.2">
      <c r="A270" s="14"/>
    </row>
    <row r="271" spans="1:1" ht="14.25" customHeight="1" x14ac:dyDescent="0.2">
      <c r="A271" s="14"/>
    </row>
    <row r="272" spans="1:1" ht="14.25" customHeight="1" x14ac:dyDescent="0.2">
      <c r="A272" s="14"/>
    </row>
    <row r="273" spans="1:1" ht="14.25" customHeight="1" x14ac:dyDescent="0.2">
      <c r="A273" s="14"/>
    </row>
    <row r="274" spans="1:1" ht="14.25" customHeight="1" x14ac:dyDescent="0.2">
      <c r="A274" s="14"/>
    </row>
    <row r="275" spans="1:1" ht="14.25" customHeight="1" x14ac:dyDescent="0.2">
      <c r="A275" s="14"/>
    </row>
    <row r="276" spans="1:1" ht="14.25" customHeight="1" x14ac:dyDescent="0.2">
      <c r="A276" s="14"/>
    </row>
    <row r="277" spans="1:1" ht="14.25" customHeight="1" x14ac:dyDescent="0.2">
      <c r="A277" s="14"/>
    </row>
    <row r="278" spans="1:1" ht="14.25" customHeight="1" x14ac:dyDescent="0.2">
      <c r="A278" s="14"/>
    </row>
    <row r="279" spans="1:1" ht="14.25" customHeight="1" x14ac:dyDescent="0.2">
      <c r="A279" s="14"/>
    </row>
    <row r="280" spans="1:1" ht="14.25" customHeight="1" x14ac:dyDescent="0.2">
      <c r="A280" s="14"/>
    </row>
    <row r="281" spans="1:1" ht="14.25" customHeight="1" x14ac:dyDescent="0.2">
      <c r="A281" s="14"/>
    </row>
    <row r="282" spans="1:1" ht="14.25" customHeight="1" x14ac:dyDescent="0.2">
      <c r="A282" s="14"/>
    </row>
    <row r="283" spans="1:1" ht="14.25" customHeight="1" x14ac:dyDescent="0.2">
      <c r="A283" s="14"/>
    </row>
    <row r="284" spans="1:1" ht="14.25" customHeight="1" x14ac:dyDescent="0.2">
      <c r="A284" s="14"/>
    </row>
    <row r="285" spans="1:1" ht="14.25" customHeight="1" x14ac:dyDescent="0.2">
      <c r="A285" s="14"/>
    </row>
    <row r="286" spans="1:1" ht="14.25" customHeight="1" x14ac:dyDescent="0.2">
      <c r="A286" s="14"/>
    </row>
    <row r="287" spans="1:1" ht="14.25" customHeight="1" x14ac:dyDescent="0.2">
      <c r="A287" s="14"/>
    </row>
    <row r="288" spans="1:1" ht="14.25" customHeight="1" x14ac:dyDescent="0.2">
      <c r="A288" s="14"/>
    </row>
    <row r="289" spans="1:1" ht="14.25" customHeight="1" x14ac:dyDescent="0.2">
      <c r="A289" s="14"/>
    </row>
    <row r="290" spans="1:1" ht="14.25" customHeight="1" x14ac:dyDescent="0.2">
      <c r="A290" s="14"/>
    </row>
    <row r="291" spans="1:1" ht="14.25" customHeight="1" x14ac:dyDescent="0.2">
      <c r="A291" s="14"/>
    </row>
    <row r="292" spans="1:1" ht="14.25" customHeight="1" x14ac:dyDescent="0.2">
      <c r="A292" s="14"/>
    </row>
    <row r="293" spans="1:1" ht="14.25" customHeight="1" x14ac:dyDescent="0.2">
      <c r="A293" s="14"/>
    </row>
    <row r="294" spans="1:1" ht="14.25" customHeight="1" x14ac:dyDescent="0.2">
      <c r="A294" s="14"/>
    </row>
    <row r="295" spans="1:1" ht="14.25" customHeight="1" x14ac:dyDescent="0.2">
      <c r="A295" s="14"/>
    </row>
    <row r="296" spans="1:1" ht="14.25" customHeight="1" x14ac:dyDescent="0.2">
      <c r="A296" s="14"/>
    </row>
    <row r="297" spans="1:1" ht="14.25" customHeight="1" x14ac:dyDescent="0.2">
      <c r="A297" s="14"/>
    </row>
    <row r="298" spans="1:1" ht="14.25" customHeight="1" x14ac:dyDescent="0.2">
      <c r="A298" s="14"/>
    </row>
    <row r="299" spans="1:1" ht="14.25" customHeight="1" x14ac:dyDescent="0.2">
      <c r="A299" s="14"/>
    </row>
    <row r="300" spans="1:1" ht="14.25" customHeight="1" x14ac:dyDescent="0.2">
      <c r="A300" s="14"/>
    </row>
    <row r="301" spans="1:1" ht="14.25" customHeight="1" x14ac:dyDescent="0.2">
      <c r="A301" s="14"/>
    </row>
    <row r="302" spans="1:1" ht="14.25" customHeight="1" x14ac:dyDescent="0.2">
      <c r="A302" s="14"/>
    </row>
    <row r="303" spans="1:1" ht="14.25" customHeight="1" x14ac:dyDescent="0.2">
      <c r="A303" s="14"/>
    </row>
    <row r="304" spans="1:1" ht="14.25" customHeight="1" x14ac:dyDescent="0.2">
      <c r="A304" s="14"/>
    </row>
    <row r="305" spans="1:1" ht="14.25" customHeight="1" x14ac:dyDescent="0.2">
      <c r="A305" s="14"/>
    </row>
    <row r="306" spans="1:1" ht="14.25" customHeight="1" x14ac:dyDescent="0.2">
      <c r="A306" s="14"/>
    </row>
    <row r="307" spans="1:1" ht="14.25" customHeight="1" x14ac:dyDescent="0.2">
      <c r="A307" s="14"/>
    </row>
    <row r="308" spans="1:1" ht="14.25" customHeight="1" x14ac:dyDescent="0.2">
      <c r="A308" s="14"/>
    </row>
    <row r="309" spans="1:1" ht="14.25" customHeight="1" x14ac:dyDescent="0.2">
      <c r="A309" s="14"/>
    </row>
    <row r="310" spans="1:1" ht="14.25" customHeight="1" x14ac:dyDescent="0.2">
      <c r="A310" s="14"/>
    </row>
    <row r="311" spans="1:1" ht="14.25" customHeight="1" x14ac:dyDescent="0.2">
      <c r="A311" s="14"/>
    </row>
    <row r="312" spans="1:1" ht="14.25" customHeight="1" x14ac:dyDescent="0.2">
      <c r="A312" s="14"/>
    </row>
    <row r="313" spans="1:1" ht="14.25" customHeight="1" x14ac:dyDescent="0.2">
      <c r="A313" s="14"/>
    </row>
    <row r="314" spans="1:1" ht="14.25" customHeight="1" x14ac:dyDescent="0.2">
      <c r="A314" s="14"/>
    </row>
    <row r="315" spans="1:1" ht="14.25" customHeight="1" x14ac:dyDescent="0.2">
      <c r="A315" s="14"/>
    </row>
    <row r="316" spans="1:1" ht="14.25" customHeight="1" x14ac:dyDescent="0.2">
      <c r="A316" s="14"/>
    </row>
    <row r="317" spans="1:1" ht="14.25" customHeight="1" x14ac:dyDescent="0.2">
      <c r="A317" s="14"/>
    </row>
    <row r="318" spans="1:1" ht="14.25" customHeight="1" x14ac:dyDescent="0.2">
      <c r="A318" s="14"/>
    </row>
    <row r="319" spans="1:1" ht="14.25" customHeight="1" x14ac:dyDescent="0.2">
      <c r="A319" s="14"/>
    </row>
    <row r="320" spans="1:1" ht="14.25" customHeight="1" x14ac:dyDescent="0.2">
      <c r="A320" s="14"/>
    </row>
    <row r="321" spans="1:1" ht="14.25" customHeight="1" x14ac:dyDescent="0.2">
      <c r="A321" s="14"/>
    </row>
    <row r="322" spans="1:1" ht="14.25" customHeight="1" x14ac:dyDescent="0.2">
      <c r="A322" s="14"/>
    </row>
    <row r="323" spans="1:1" ht="14.25" customHeight="1" x14ac:dyDescent="0.2">
      <c r="A323" s="14"/>
    </row>
    <row r="324" spans="1:1" ht="14.25" customHeight="1" x14ac:dyDescent="0.2">
      <c r="A324" s="14"/>
    </row>
    <row r="325" spans="1:1" ht="14.25" customHeight="1" x14ac:dyDescent="0.2">
      <c r="A325" s="14"/>
    </row>
    <row r="326" spans="1:1" ht="14.25" customHeight="1" x14ac:dyDescent="0.2">
      <c r="A326" s="14"/>
    </row>
    <row r="327" spans="1:1" ht="14.25" customHeight="1" x14ac:dyDescent="0.2">
      <c r="A327" s="14"/>
    </row>
    <row r="328" spans="1:1" ht="14.25" customHeight="1" x14ac:dyDescent="0.2">
      <c r="A328" s="14"/>
    </row>
    <row r="329" spans="1:1" ht="14.25" customHeight="1" x14ac:dyDescent="0.2">
      <c r="A329" s="14"/>
    </row>
    <row r="330" spans="1:1" ht="14.25" customHeight="1" x14ac:dyDescent="0.2">
      <c r="A330" s="14"/>
    </row>
    <row r="331" spans="1:1" ht="14.25" customHeight="1" x14ac:dyDescent="0.2">
      <c r="A331" s="14"/>
    </row>
    <row r="332" spans="1:1" ht="14.25" customHeight="1" x14ac:dyDescent="0.2">
      <c r="A332" s="14"/>
    </row>
    <row r="333" spans="1:1" ht="14.25" customHeight="1" x14ac:dyDescent="0.2">
      <c r="A333" s="14"/>
    </row>
    <row r="334" spans="1:1" ht="14.25" customHeight="1" x14ac:dyDescent="0.2">
      <c r="A334" s="14"/>
    </row>
    <row r="335" spans="1:1" ht="14.25" customHeight="1" x14ac:dyDescent="0.2">
      <c r="A335" s="14"/>
    </row>
    <row r="336" spans="1:1" ht="14.25" customHeight="1" x14ac:dyDescent="0.2">
      <c r="A336" s="14"/>
    </row>
    <row r="337" spans="1:1" ht="14.25" customHeight="1" x14ac:dyDescent="0.2">
      <c r="A337" s="14"/>
    </row>
    <row r="338" spans="1:1" ht="14.25" customHeight="1" x14ac:dyDescent="0.2">
      <c r="A338" s="14"/>
    </row>
    <row r="339" spans="1:1" ht="14.25" customHeight="1" x14ac:dyDescent="0.2">
      <c r="A339" s="14"/>
    </row>
    <row r="340" spans="1:1" ht="14.25" customHeight="1" x14ac:dyDescent="0.2">
      <c r="A340" s="14"/>
    </row>
    <row r="341" spans="1:1" ht="14.25" customHeight="1" x14ac:dyDescent="0.2">
      <c r="A341" s="14"/>
    </row>
    <row r="342" spans="1:1" ht="14.25" customHeight="1" x14ac:dyDescent="0.2">
      <c r="A342" s="14"/>
    </row>
    <row r="343" spans="1:1" ht="14.25" customHeight="1" x14ac:dyDescent="0.2">
      <c r="A343" s="14"/>
    </row>
    <row r="344" spans="1:1" ht="14.25" customHeight="1" x14ac:dyDescent="0.2">
      <c r="A344" s="14"/>
    </row>
    <row r="345" spans="1:1" ht="14.25" customHeight="1" x14ac:dyDescent="0.2">
      <c r="A345" s="14"/>
    </row>
    <row r="346" spans="1:1" ht="14.25" customHeight="1" x14ac:dyDescent="0.2">
      <c r="A346" s="14"/>
    </row>
    <row r="347" spans="1:1" ht="14.25" customHeight="1" x14ac:dyDescent="0.2">
      <c r="A347" s="14"/>
    </row>
    <row r="348" spans="1:1" ht="14.25" customHeight="1" x14ac:dyDescent="0.2">
      <c r="A348" s="14"/>
    </row>
    <row r="349" spans="1:1" ht="14.25" customHeight="1" x14ac:dyDescent="0.2">
      <c r="A349" s="14"/>
    </row>
    <row r="350" spans="1:1" ht="14.25" customHeight="1" x14ac:dyDescent="0.2">
      <c r="A350" s="14"/>
    </row>
    <row r="351" spans="1:1" ht="14.25" customHeight="1" x14ac:dyDescent="0.2">
      <c r="A351" s="14"/>
    </row>
    <row r="352" spans="1:1" ht="14.25" customHeight="1" x14ac:dyDescent="0.2">
      <c r="A352" s="14"/>
    </row>
    <row r="353" spans="1:1" ht="14.25" customHeight="1" x14ac:dyDescent="0.2">
      <c r="A353" s="14"/>
    </row>
    <row r="354" spans="1:1" ht="14.25" customHeight="1" x14ac:dyDescent="0.2">
      <c r="A354" s="14"/>
    </row>
    <row r="355" spans="1:1" ht="14.25" customHeight="1" x14ac:dyDescent="0.2">
      <c r="A355" s="14"/>
    </row>
    <row r="356" spans="1:1" ht="14.25" customHeight="1" x14ac:dyDescent="0.2">
      <c r="A356" s="14"/>
    </row>
    <row r="357" spans="1:1" ht="14.25" customHeight="1" x14ac:dyDescent="0.2">
      <c r="A357" s="14"/>
    </row>
    <row r="358" spans="1:1" ht="14.25" customHeight="1" x14ac:dyDescent="0.2">
      <c r="A358" s="14"/>
    </row>
    <row r="359" spans="1:1" ht="14.25" customHeight="1" x14ac:dyDescent="0.2">
      <c r="A359" s="14"/>
    </row>
    <row r="360" spans="1:1" ht="14.25" customHeight="1" x14ac:dyDescent="0.2">
      <c r="A360" s="14"/>
    </row>
    <row r="361" spans="1:1" ht="14.25" customHeight="1" x14ac:dyDescent="0.2">
      <c r="A361" s="14"/>
    </row>
    <row r="362" spans="1:1" ht="14.25" customHeight="1" x14ac:dyDescent="0.2">
      <c r="A362" s="14"/>
    </row>
    <row r="363" spans="1:1" ht="14.25" customHeight="1" x14ac:dyDescent="0.2">
      <c r="A363" s="14"/>
    </row>
    <row r="364" spans="1:1" ht="14.25" customHeight="1" x14ac:dyDescent="0.2">
      <c r="A364" s="14"/>
    </row>
    <row r="365" spans="1:1" ht="14.25" customHeight="1" x14ac:dyDescent="0.2">
      <c r="A365" s="14"/>
    </row>
    <row r="366" spans="1:1" ht="14.25" customHeight="1" x14ac:dyDescent="0.2">
      <c r="A366" s="14"/>
    </row>
    <row r="367" spans="1:1" ht="14.25" customHeight="1" x14ac:dyDescent="0.2">
      <c r="A367" s="14"/>
    </row>
    <row r="368" spans="1:1" ht="14.25" customHeight="1" x14ac:dyDescent="0.2">
      <c r="A368" s="14"/>
    </row>
    <row r="369" spans="1:1" ht="14.25" customHeight="1" x14ac:dyDescent="0.2">
      <c r="A369" s="14"/>
    </row>
    <row r="370" spans="1:1" ht="14.25" customHeight="1" x14ac:dyDescent="0.2">
      <c r="A370" s="14"/>
    </row>
    <row r="371" spans="1:1" ht="14.25" customHeight="1" x14ac:dyDescent="0.2">
      <c r="A371" s="14"/>
    </row>
    <row r="372" spans="1:1" ht="14.25" customHeight="1" x14ac:dyDescent="0.2">
      <c r="A372" s="14"/>
    </row>
    <row r="373" spans="1:1" ht="14.25" customHeight="1" x14ac:dyDescent="0.2">
      <c r="A373" s="14"/>
    </row>
    <row r="374" spans="1:1" ht="14.25" customHeight="1" x14ac:dyDescent="0.2">
      <c r="A374" s="14"/>
    </row>
    <row r="375" spans="1:1" ht="14.25" customHeight="1" x14ac:dyDescent="0.2">
      <c r="A375" s="14"/>
    </row>
    <row r="376" spans="1:1" ht="14.25" customHeight="1" x14ac:dyDescent="0.2">
      <c r="A376" s="14"/>
    </row>
    <row r="377" spans="1:1" ht="14.25" customHeight="1" x14ac:dyDescent="0.2">
      <c r="A377" s="14"/>
    </row>
    <row r="378" spans="1:1" ht="14.25" customHeight="1" x14ac:dyDescent="0.2">
      <c r="A378" s="14"/>
    </row>
    <row r="379" spans="1:1" ht="14.25" customHeight="1" x14ac:dyDescent="0.2">
      <c r="A379" s="14"/>
    </row>
    <row r="380" spans="1:1" ht="14.25" customHeight="1" x14ac:dyDescent="0.2">
      <c r="A380" s="14"/>
    </row>
    <row r="381" spans="1:1" ht="14.25" customHeight="1" x14ac:dyDescent="0.2">
      <c r="A381" s="14"/>
    </row>
    <row r="382" spans="1:1" ht="14.25" customHeight="1" x14ac:dyDescent="0.2">
      <c r="A382" s="14"/>
    </row>
    <row r="383" spans="1:1" ht="14.25" customHeight="1" x14ac:dyDescent="0.2">
      <c r="A383" s="14"/>
    </row>
    <row r="384" spans="1:1" ht="14.25" customHeight="1" x14ac:dyDescent="0.2">
      <c r="A384" s="14"/>
    </row>
    <row r="385" spans="1:1" ht="14.25" customHeight="1" x14ac:dyDescent="0.2">
      <c r="A385" s="14"/>
    </row>
    <row r="386" spans="1:1" ht="14.25" customHeight="1" x14ac:dyDescent="0.2">
      <c r="A386" s="14"/>
    </row>
    <row r="387" spans="1:1" ht="14.25" customHeight="1" x14ac:dyDescent="0.2">
      <c r="A387" s="14"/>
    </row>
    <row r="388" spans="1:1" ht="14.25" customHeight="1" x14ac:dyDescent="0.2">
      <c r="A388" s="14"/>
    </row>
    <row r="389" spans="1:1" ht="14.25" customHeight="1" x14ac:dyDescent="0.2">
      <c r="A389" s="14"/>
    </row>
    <row r="390" spans="1:1" ht="14.25" customHeight="1" x14ac:dyDescent="0.2">
      <c r="A390" s="14"/>
    </row>
    <row r="391" spans="1:1" ht="14.25" customHeight="1" x14ac:dyDescent="0.2">
      <c r="A391" s="14"/>
    </row>
    <row r="392" spans="1:1" ht="14.25" customHeight="1" x14ac:dyDescent="0.2">
      <c r="A392" s="14"/>
    </row>
    <row r="393" spans="1:1" ht="14.25" customHeight="1" x14ac:dyDescent="0.2">
      <c r="A393" s="14"/>
    </row>
    <row r="394" spans="1:1" ht="14.25" customHeight="1" x14ac:dyDescent="0.2">
      <c r="A394" s="14"/>
    </row>
    <row r="395" spans="1:1" ht="14.25" customHeight="1" x14ac:dyDescent="0.2">
      <c r="A395" s="14"/>
    </row>
    <row r="396" spans="1:1" ht="14.25" customHeight="1" x14ac:dyDescent="0.2">
      <c r="A396" s="14"/>
    </row>
    <row r="397" spans="1:1" ht="14.25" customHeight="1" x14ac:dyDescent="0.2">
      <c r="A397" s="14"/>
    </row>
    <row r="398" spans="1:1" ht="14.25" customHeight="1" x14ac:dyDescent="0.2">
      <c r="A398" s="14"/>
    </row>
    <row r="399" spans="1:1" ht="14.25" customHeight="1" x14ac:dyDescent="0.2">
      <c r="A399" s="14"/>
    </row>
    <row r="400" spans="1:1" ht="14.25" customHeight="1" x14ac:dyDescent="0.2">
      <c r="A400" s="14"/>
    </row>
    <row r="401" spans="1:1" ht="14.25" customHeight="1" x14ac:dyDescent="0.2">
      <c r="A401" s="14"/>
    </row>
    <row r="402" spans="1:1" ht="14.25" customHeight="1" x14ac:dyDescent="0.2">
      <c r="A402" s="14"/>
    </row>
    <row r="403" spans="1:1" ht="14.25" customHeight="1" x14ac:dyDescent="0.2">
      <c r="A403" s="14"/>
    </row>
    <row r="404" spans="1:1" ht="14.25" customHeight="1" x14ac:dyDescent="0.2">
      <c r="A404" s="14"/>
    </row>
    <row r="405" spans="1:1" ht="14.25" customHeight="1" x14ac:dyDescent="0.2">
      <c r="A405" s="14"/>
    </row>
    <row r="406" spans="1:1" ht="14.25" customHeight="1" x14ac:dyDescent="0.2">
      <c r="A406" s="14"/>
    </row>
    <row r="407" spans="1:1" ht="14.25" customHeight="1" x14ac:dyDescent="0.2">
      <c r="A407" s="14"/>
    </row>
    <row r="408" spans="1:1" ht="14.25" customHeight="1" x14ac:dyDescent="0.2">
      <c r="A408" s="14"/>
    </row>
    <row r="409" spans="1:1" ht="14.25" customHeight="1" x14ac:dyDescent="0.2">
      <c r="A409" s="14"/>
    </row>
    <row r="410" spans="1:1" ht="14.25" customHeight="1" x14ac:dyDescent="0.2">
      <c r="A410" s="14"/>
    </row>
    <row r="411" spans="1:1" ht="14.25" customHeight="1" x14ac:dyDescent="0.2">
      <c r="A411" s="14"/>
    </row>
    <row r="412" spans="1:1" ht="14.25" customHeight="1" x14ac:dyDescent="0.2">
      <c r="A412" s="14"/>
    </row>
    <row r="413" spans="1:1" ht="14.25" customHeight="1" x14ac:dyDescent="0.2">
      <c r="A413" s="14"/>
    </row>
    <row r="414" spans="1:1" ht="14.25" customHeight="1" x14ac:dyDescent="0.2">
      <c r="A414" s="14"/>
    </row>
    <row r="415" spans="1:1" ht="14.25" customHeight="1" x14ac:dyDescent="0.2">
      <c r="A415" s="14"/>
    </row>
    <row r="416" spans="1:1" ht="14.25" customHeight="1" x14ac:dyDescent="0.2">
      <c r="A416" s="14"/>
    </row>
    <row r="417" spans="1:1" ht="14.25" customHeight="1" x14ac:dyDescent="0.2">
      <c r="A417" s="14"/>
    </row>
    <row r="418" spans="1:1" ht="14.25" customHeight="1" x14ac:dyDescent="0.2">
      <c r="A418" s="14"/>
    </row>
    <row r="419" spans="1:1" ht="14.25" customHeight="1" x14ac:dyDescent="0.2">
      <c r="A419" s="14"/>
    </row>
    <row r="420" spans="1:1" ht="14.25" customHeight="1" x14ac:dyDescent="0.2">
      <c r="A420" s="14"/>
    </row>
    <row r="421" spans="1:1" ht="14.25" customHeight="1" x14ac:dyDescent="0.2">
      <c r="A421" s="14"/>
    </row>
    <row r="422" spans="1:1" ht="14.25" customHeight="1" x14ac:dyDescent="0.2">
      <c r="A422" s="14"/>
    </row>
    <row r="423" spans="1:1" ht="14.25" customHeight="1" x14ac:dyDescent="0.2">
      <c r="A423" s="14"/>
    </row>
    <row r="424" spans="1:1" ht="14.25" customHeight="1" x14ac:dyDescent="0.2">
      <c r="A424" s="14"/>
    </row>
    <row r="425" spans="1:1" ht="14.25" customHeight="1" x14ac:dyDescent="0.2">
      <c r="A425" s="14"/>
    </row>
    <row r="426" spans="1:1" ht="14.25" customHeight="1" x14ac:dyDescent="0.2">
      <c r="A426" s="14"/>
    </row>
    <row r="427" spans="1:1" ht="14.25" customHeight="1" x14ac:dyDescent="0.2">
      <c r="A427" s="14"/>
    </row>
    <row r="428" spans="1:1" ht="14.25" customHeight="1" x14ac:dyDescent="0.2">
      <c r="A428" s="14"/>
    </row>
    <row r="429" spans="1:1" ht="14.25" customHeight="1" x14ac:dyDescent="0.2">
      <c r="A429" s="14"/>
    </row>
    <row r="430" spans="1:1" ht="14.25" customHeight="1" x14ac:dyDescent="0.2">
      <c r="A430" s="14"/>
    </row>
    <row r="431" spans="1:1" ht="14.25" customHeight="1" x14ac:dyDescent="0.2">
      <c r="A431" s="14"/>
    </row>
    <row r="432" spans="1:1" ht="14.25" customHeight="1" x14ac:dyDescent="0.2">
      <c r="A432" s="14"/>
    </row>
    <row r="433" spans="1:1" ht="14.25" customHeight="1" x14ac:dyDescent="0.2">
      <c r="A433" s="14"/>
    </row>
    <row r="434" spans="1:1" ht="14.25" customHeight="1" x14ac:dyDescent="0.2">
      <c r="A434" s="14"/>
    </row>
    <row r="435" spans="1:1" ht="14.25" customHeight="1" x14ac:dyDescent="0.2">
      <c r="A435" s="14"/>
    </row>
    <row r="436" spans="1:1" ht="14.25" customHeight="1" x14ac:dyDescent="0.2">
      <c r="A436" s="14"/>
    </row>
    <row r="437" spans="1:1" ht="14.25" customHeight="1" x14ac:dyDescent="0.2">
      <c r="A437" s="14"/>
    </row>
    <row r="438" spans="1:1" ht="14.25" customHeight="1" x14ac:dyDescent="0.2">
      <c r="A438" s="14"/>
    </row>
    <row r="439" spans="1:1" ht="14.25" customHeight="1" x14ac:dyDescent="0.2">
      <c r="A439" s="14"/>
    </row>
    <row r="440" spans="1:1" ht="14.25" customHeight="1" x14ac:dyDescent="0.2">
      <c r="A440" s="14"/>
    </row>
    <row r="441" spans="1:1" ht="14.25" customHeight="1" x14ac:dyDescent="0.2">
      <c r="A441" s="14"/>
    </row>
    <row r="442" spans="1:1" ht="14.25" customHeight="1" x14ac:dyDescent="0.2">
      <c r="A442" s="14"/>
    </row>
    <row r="443" spans="1:1" ht="14.25" customHeight="1" x14ac:dyDescent="0.2">
      <c r="A443" s="14"/>
    </row>
    <row r="444" spans="1:1" ht="14.25" customHeight="1" x14ac:dyDescent="0.2">
      <c r="A444" s="14"/>
    </row>
    <row r="445" spans="1:1" ht="14.25" customHeight="1" x14ac:dyDescent="0.2">
      <c r="A445" s="14"/>
    </row>
    <row r="446" spans="1:1" ht="14.25" customHeight="1" x14ac:dyDescent="0.2">
      <c r="A446" s="14"/>
    </row>
    <row r="447" spans="1:1" ht="14.25" customHeight="1" x14ac:dyDescent="0.2">
      <c r="A447" s="14"/>
    </row>
    <row r="448" spans="1:1" ht="14.25" customHeight="1" x14ac:dyDescent="0.2">
      <c r="A448" s="14"/>
    </row>
    <row r="449" spans="1:1" ht="14.25" customHeight="1" x14ac:dyDescent="0.2">
      <c r="A449" s="14"/>
    </row>
    <row r="450" spans="1:1" ht="14.25" customHeight="1" x14ac:dyDescent="0.2">
      <c r="A450" s="14"/>
    </row>
    <row r="451" spans="1:1" ht="14.25" customHeight="1" x14ac:dyDescent="0.2">
      <c r="A451" s="14"/>
    </row>
    <row r="452" spans="1:1" ht="14.25" customHeight="1" x14ac:dyDescent="0.2">
      <c r="A452" s="14"/>
    </row>
    <row r="453" spans="1:1" ht="14.25" customHeight="1" x14ac:dyDescent="0.2">
      <c r="A453" s="14"/>
    </row>
    <row r="454" spans="1:1" ht="14.25" customHeight="1" x14ac:dyDescent="0.2">
      <c r="A454" s="14"/>
    </row>
    <row r="455" spans="1:1" ht="14.25" customHeight="1" x14ac:dyDescent="0.2">
      <c r="A455" s="14"/>
    </row>
    <row r="456" spans="1:1" ht="14.25" customHeight="1" x14ac:dyDescent="0.2">
      <c r="A456" s="14"/>
    </row>
    <row r="457" spans="1:1" ht="14.25" customHeight="1" x14ac:dyDescent="0.2">
      <c r="A457" s="14"/>
    </row>
    <row r="458" spans="1:1" ht="14.25" customHeight="1" x14ac:dyDescent="0.2">
      <c r="A458" s="14"/>
    </row>
    <row r="459" spans="1:1" ht="14.25" customHeight="1" x14ac:dyDescent="0.2">
      <c r="A459" s="14"/>
    </row>
    <row r="460" spans="1:1" ht="14.25" customHeight="1" x14ac:dyDescent="0.2">
      <c r="A460" s="14"/>
    </row>
    <row r="461" spans="1:1" ht="14.25" customHeight="1" x14ac:dyDescent="0.2">
      <c r="A461" s="14"/>
    </row>
    <row r="462" spans="1:1" ht="14.25" customHeight="1" x14ac:dyDescent="0.2">
      <c r="A462" s="14"/>
    </row>
    <row r="463" spans="1:1" ht="14.25" customHeight="1" x14ac:dyDescent="0.2">
      <c r="A463" s="14"/>
    </row>
    <row r="464" spans="1:1" ht="14.25" customHeight="1" x14ac:dyDescent="0.2">
      <c r="A464" s="14"/>
    </row>
    <row r="465" spans="1:1" ht="14.25" customHeight="1" x14ac:dyDescent="0.2">
      <c r="A465" s="14"/>
    </row>
    <row r="466" spans="1:1" ht="14.25" customHeight="1" x14ac:dyDescent="0.2">
      <c r="A466" s="14"/>
    </row>
    <row r="467" spans="1:1" ht="14.25" customHeight="1" x14ac:dyDescent="0.2">
      <c r="A467" s="14"/>
    </row>
    <row r="468" spans="1:1" ht="14.25" customHeight="1" x14ac:dyDescent="0.2">
      <c r="A468" s="14"/>
    </row>
    <row r="469" spans="1:1" ht="14.25" customHeight="1" x14ac:dyDescent="0.2">
      <c r="A469" s="14"/>
    </row>
    <row r="470" spans="1:1" ht="14.25" customHeight="1" x14ac:dyDescent="0.2">
      <c r="A470" s="14"/>
    </row>
    <row r="471" spans="1:1" ht="14.25" customHeight="1" x14ac:dyDescent="0.2">
      <c r="A471" s="14"/>
    </row>
    <row r="472" spans="1:1" ht="14.25" customHeight="1" x14ac:dyDescent="0.2">
      <c r="A472" s="14"/>
    </row>
    <row r="473" spans="1:1" ht="14.25" customHeight="1" x14ac:dyDescent="0.2">
      <c r="A473" s="14"/>
    </row>
    <row r="474" spans="1:1" ht="14.25" customHeight="1" x14ac:dyDescent="0.2">
      <c r="A474" s="14"/>
    </row>
    <row r="475" spans="1:1" ht="14.25" customHeight="1" x14ac:dyDescent="0.2">
      <c r="A475" s="14"/>
    </row>
    <row r="476" spans="1:1" ht="14.25" customHeight="1" x14ac:dyDescent="0.2">
      <c r="A476" s="14"/>
    </row>
    <row r="477" spans="1:1" ht="14.25" customHeight="1" x14ac:dyDescent="0.2">
      <c r="A477" s="14"/>
    </row>
    <row r="478" spans="1:1" ht="14.25" customHeight="1" x14ac:dyDescent="0.2">
      <c r="A478" s="14"/>
    </row>
    <row r="479" spans="1:1" ht="14.25" customHeight="1" x14ac:dyDescent="0.2">
      <c r="A479" s="14"/>
    </row>
    <row r="480" spans="1:1" ht="14.25" customHeight="1" x14ac:dyDescent="0.2">
      <c r="A480" s="14"/>
    </row>
    <row r="481" spans="1:1" ht="14.25" customHeight="1" x14ac:dyDescent="0.2">
      <c r="A481" s="14"/>
    </row>
    <row r="482" spans="1:1" ht="14.25" customHeight="1" x14ac:dyDescent="0.2">
      <c r="A482" s="14"/>
    </row>
    <row r="483" spans="1:1" ht="14.25" customHeight="1" x14ac:dyDescent="0.2">
      <c r="A483" s="14"/>
    </row>
    <row r="484" spans="1:1" ht="14.25" customHeight="1" x14ac:dyDescent="0.2">
      <c r="A484" s="14"/>
    </row>
    <row r="485" spans="1:1" ht="14.25" customHeight="1" x14ac:dyDescent="0.2">
      <c r="A485" s="14"/>
    </row>
    <row r="486" spans="1:1" ht="14.25" customHeight="1" x14ac:dyDescent="0.2">
      <c r="A486" s="14"/>
    </row>
    <row r="487" spans="1:1" ht="14.25" customHeight="1" x14ac:dyDescent="0.2">
      <c r="A487" s="14"/>
    </row>
    <row r="488" spans="1:1" ht="14.25" customHeight="1" x14ac:dyDescent="0.2">
      <c r="A488" s="14"/>
    </row>
    <row r="489" spans="1:1" ht="14.25" customHeight="1" x14ac:dyDescent="0.2">
      <c r="A489" s="14"/>
    </row>
    <row r="490" spans="1:1" ht="14.25" customHeight="1" x14ac:dyDescent="0.2">
      <c r="A490" s="14"/>
    </row>
    <row r="491" spans="1:1" ht="14.25" customHeight="1" x14ac:dyDescent="0.2">
      <c r="A491" s="14"/>
    </row>
    <row r="492" spans="1:1" ht="14.25" customHeight="1" x14ac:dyDescent="0.2">
      <c r="A492" s="14"/>
    </row>
    <row r="493" spans="1:1" ht="14.25" customHeight="1" x14ac:dyDescent="0.2">
      <c r="A493" s="14"/>
    </row>
    <row r="494" spans="1:1" ht="14.25" customHeight="1" x14ac:dyDescent="0.2">
      <c r="A494" s="14"/>
    </row>
    <row r="495" spans="1:1" ht="14.25" customHeight="1" x14ac:dyDescent="0.2">
      <c r="A495" s="14"/>
    </row>
    <row r="496" spans="1:1" ht="14.25" customHeight="1" x14ac:dyDescent="0.2">
      <c r="A496" s="14"/>
    </row>
    <row r="497" spans="1:1" ht="14.25" customHeight="1" x14ac:dyDescent="0.2">
      <c r="A497" s="14"/>
    </row>
    <row r="498" spans="1:1" ht="14.25" customHeight="1" x14ac:dyDescent="0.2">
      <c r="A498" s="14"/>
    </row>
    <row r="499" spans="1:1" ht="14.25" customHeight="1" x14ac:dyDescent="0.2">
      <c r="A499" s="14"/>
    </row>
    <row r="500" spans="1:1" ht="14.25" customHeight="1" x14ac:dyDescent="0.2">
      <c r="A500" s="14"/>
    </row>
    <row r="501" spans="1:1" ht="14.25" customHeight="1" x14ac:dyDescent="0.2">
      <c r="A501" s="14"/>
    </row>
    <row r="502" spans="1:1" ht="14.25" customHeight="1" x14ac:dyDescent="0.2">
      <c r="A502" s="14"/>
    </row>
    <row r="503" spans="1:1" ht="14.25" customHeight="1" x14ac:dyDescent="0.2">
      <c r="A503" s="14"/>
    </row>
    <row r="504" spans="1:1" ht="14.25" customHeight="1" x14ac:dyDescent="0.2">
      <c r="A504" s="14"/>
    </row>
    <row r="505" spans="1:1" ht="14.25" customHeight="1" x14ac:dyDescent="0.2">
      <c r="A505" s="14"/>
    </row>
    <row r="506" spans="1:1" ht="14.25" customHeight="1" x14ac:dyDescent="0.2">
      <c r="A506" s="14"/>
    </row>
    <row r="507" spans="1:1" ht="14.25" customHeight="1" x14ac:dyDescent="0.2">
      <c r="A507" s="14"/>
    </row>
    <row r="508" spans="1:1" ht="14.25" customHeight="1" x14ac:dyDescent="0.2">
      <c r="A508" s="14"/>
    </row>
    <row r="509" spans="1:1" ht="14.25" customHeight="1" x14ac:dyDescent="0.2">
      <c r="A509" s="14"/>
    </row>
    <row r="510" spans="1:1" ht="14.25" customHeight="1" x14ac:dyDescent="0.2">
      <c r="A510" s="14"/>
    </row>
    <row r="511" spans="1:1" ht="14.25" customHeight="1" x14ac:dyDescent="0.2">
      <c r="A511" s="14"/>
    </row>
    <row r="512" spans="1:1" ht="14.25" customHeight="1" x14ac:dyDescent="0.2">
      <c r="A512" s="14"/>
    </row>
    <row r="513" spans="1:1" ht="14.25" customHeight="1" x14ac:dyDescent="0.2">
      <c r="A513" s="14"/>
    </row>
    <row r="514" spans="1:1" ht="14.25" customHeight="1" x14ac:dyDescent="0.2">
      <c r="A514" s="14"/>
    </row>
    <row r="515" spans="1:1" ht="14.25" customHeight="1" x14ac:dyDescent="0.2">
      <c r="A515" s="14"/>
    </row>
    <row r="516" spans="1:1" ht="14.25" customHeight="1" x14ac:dyDescent="0.2">
      <c r="A516" s="14"/>
    </row>
    <row r="517" spans="1:1" ht="14.25" customHeight="1" x14ac:dyDescent="0.2">
      <c r="A517" s="14"/>
    </row>
    <row r="518" spans="1:1" ht="14.25" customHeight="1" x14ac:dyDescent="0.2">
      <c r="A518" s="14"/>
    </row>
    <row r="519" spans="1:1" ht="14.25" customHeight="1" x14ac:dyDescent="0.2">
      <c r="A519" s="14"/>
    </row>
    <row r="520" spans="1:1" ht="14.25" customHeight="1" x14ac:dyDescent="0.2">
      <c r="A520" s="14"/>
    </row>
    <row r="521" spans="1:1" ht="14.25" customHeight="1" x14ac:dyDescent="0.2">
      <c r="A521" s="14"/>
    </row>
    <row r="522" spans="1:1" ht="14.25" customHeight="1" x14ac:dyDescent="0.2">
      <c r="A522" s="14"/>
    </row>
    <row r="523" spans="1:1" ht="14.25" customHeight="1" x14ac:dyDescent="0.2">
      <c r="A523" s="14"/>
    </row>
    <row r="524" spans="1:1" ht="14.25" customHeight="1" x14ac:dyDescent="0.2">
      <c r="A524" s="14"/>
    </row>
    <row r="525" spans="1:1" ht="14.25" customHeight="1" x14ac:dyDescent="0.2">
      <c r="A525" s="14"/>
    </row>
    <row r="526" spans="1:1" ht="14.25" customHeight="1" x14ac:dyDescent="0.2">
      <c r="A526" s="14"/>
    </row>
    <row r="527" spans="1:1" ht="14.25" customHeight="1" x14ac:dyDescent="0.2">
      <c r="A527" s="14"/>
    </row>
    <row r="528" spans="1:1" ht="14.25" customHeight="1" x14ac:dyDescent="0.2">
      <c r="A528" s="14"/>
    </row>
    <row r="529" spans="1:1" ht="14.25" customHeight="1" x14ac:dyDescent="0.2">
      <c r="A529" s="14"/>
    </row>
    <row r="530" spans="1:1" ht="14.25" customHeight="1" x14ac:dyDescent="0.2">
      <c r="A530" s="14"/>
    </row>
    <row r="531" spans="1:1" ht="14.25" customHeight="1" x14ac:dyDescent="0.2">
      <c r="A531" s="14"/>
    </row>
    <row r="532" spans="1:1" ht="14.25" customHeight="1" x14ac:dyDescent="0.2">
      <c r="A532" s="14"/>
    </row>
    <row r="533" spans="1:1" ht="14.25" customHeight="1" x14ac:dyDescent="0.2">
      <c r="A533" s="14"/>
    </row>
    <row r="534" spans="1:1" ht="14.25" customHeight="1" x14ac:dyDescent="0.2">
      <c r="A534" s="14"/>
    </row>
    <row r="535" spans="1:1" ht="14.25" customHeight="1" x14ac:dyDescent="0.2">
      <c r="A535" s="14"/>
    </row>
    <row r="536" spans="1:1" ht="14.25" customHeight="1" x14ac:dyDescent="0.2">
      <c r="A536" s="14"/>
    </row>
    <row r="537" spans="1:1" ht="14.25" customHeight="1" x14ac:dyDescent="0.2">
      <c r="A537" s="14"/>
    </row>
    <row r="538" spans="1:1" ht="14.25" customHeight="1" x14ac:dyDescent="0.2">
      <c r="A538" s="14"/>
    </row>
    <row r="539" spans="1:1" ht="14.25" customHeight="1" x14ac:dyDescent="0.2">
      <c r="A539" s="14"/>
    </row>
    <row r="540" spans="1:1" ht="14.25" customHeight="1" x14ac:dyDescent="0.2">
      <c r="A540" s="14"/>
    </row>
    <row r="541" spans="1:1" ht="14.25" customHeight="1" x14ac:dyDescent="0.2">
      <c r="A541" s="14"/>
    </row>
    <row r="542" spans="1:1" ht="14.25" customHeight="1" x14ac:dyDescent="0.2">
      <c r="A542" s="14"/>
    </row>
    <row r="543" spans="1:1" ht="14.25" customHeight="1" x14ac:dyDescent="0.2">
      <c r="A543" s="14"/>
    </row>
    <row r="544" spans="1:1" ht="14.25" customHeight="1" x14ac:dyDescent="0.2">
      <c r="A544" s="14"/>
    </row>
    <row r="545" spans="1:1" ht="14.25" customHeight="1" x14ac:dyDescent="0.2">
      <c r="A545" s="14"/>
    </row>
    <row r="546" spans="1:1" ht="14.25" customHeight="1" x14ac:dyDescent="0.2">
      <c r="A546" s="14"/>
    </row>
    <row r="547" spans="1:1" ht="14.25" customHeight="1" x14ac:dyDescent="0.2">
      <c r="A547" s="14"/>
    </row>
    <row r="548" spans="1:1" ht="14.25" customHeight="1" x14ac:dyDescent="0.2">
      <c r="A548" s="14"/>
    </row>
    <row r="549" spans="1:1" ht="14.25" customHeight="1" x14ac:dyDescent="0.2">
      <c r="A549" s="14"/>
    </row>
    <row r="550" spans="1:1" ht="14.25" customHeight="1" x14ac:dyDescent="0.2">
      <c r="A550" s="14"/>
    </row>
    <row r="551" spans="1:1" ht="14.25" customHeight="1" x14ac:dyDescent="0.2">
      <c r="A551" s="14"/>
    </row>
    <row r="552" spans="1:1" ht="14.25" customHeight="1" x14ac:dyDescent="0.2">
      <c r="A552" s="14"/>
    </row>
    <row r="553" spans="1:1" ht="14.25" customHeight="1" x14ac:dyDescent="0.2">
      <c r="A553" s="14"/>
    </row>
    <row r="554" spans="1:1" ht="14.25" customHeight="1" x14ac:dyDescent="0.2">
      <c r="A554" s="14"/>
    </row>
    <row r="555" spans="1:1" ht="14.25" customHeight="1" x14ac:dyDescent="0.2">
      <c r="A555" s="14"/>
    </row>
    <row r="556" spans="1:1" ht="14.25" customHeight="1" x14ac:dyDescent="0.2">
      <c r="A556" s="14"/>
    </row>
    <row r="557" spans="1:1" ht="14.25" customHeight="1" x14ac:dyDescent="0.2">
      <c r="A557" s="14"/>
    </row>
    <row r="558" spans="1:1" ht="14.25" customHeight="1" x14ac:dyDescent="0.2">
      <c r="A558" s="14"/>
    </row>
    <row r="559" spans="1:1" ht="14.25" customHeight="1" x14ac:dyDescent="0.2">
      <c r="A559" s="14"/>
    </row>
    <row r="560" spans="1:1" ht="14.25" customHeight="1" x14ac:dyDescent="0.2">
      <c r="A560" s="14"/>
    </row>
    <row r="561" spans="1:1" ht="14.25" customHeight="1" x14ac:dyDescent="0.2">
      <c r="A561" s="14"/>
    </row>
    <row r="562" spans="1:1" ht="14.25" customHeight="1" x14ac:dyDescent="0.2">
      <c r="A562" s="14"/>
    </row>
    <row r="563" spans="1:1" ht="14.25" customHeight="1" x14ac:dyDescent="0.2">
      <c r="A563" s="14"/>
    </row>
    <row r="564" spans="1:1" ht="14.25" customHeight="1" x14ac:dyDescent="0.2">
      <c r="A564" s="14"/>
    </row>
    <row r="565" spans="1:1" ht="14.25" customHeight="1" x14ac:dyDescent="0.2">
      <c r="A565" s="14"/>
    </row>
    <row r="566" spans="1:1" ht="14.25" customHeight="1" x14ac:dyDescent="0.2">
      <c r="A566" s="14"/>
    </row>
    <row r="567" spans="1:1" ht="14.25" customHeight="1" x14ac:dyDescent="0.2">
      <c r="A567" s="14"/>
    </row>
    <row r="568" spans="1:1" ht="14.25" customHeight="1" x14ac:dyDescent="0.2">
      <c r="A568" s="14"/>
    </row>
    <row r="569" spans="1:1" ht="14.25" customHeight="1" x14ac:dyDescent="0.2">
      <c r="A569" s="14"/>
    </row>
    <row r="570" spans="1:1" ht="14.25" customHeight="1" x14ac:dyDescent="0.2">
      <c r="A570" s="14"/>
    </row>
    <row r="571" spans="1:1" ht="14.25" customHeight="1" x14ac:dyDescent="0.2">
      <c r="A571" s="14"/>
    </row>
    <row r="572" spans="1:1" ht="14.25" customHeight="1" x14ac:dyDescent="0.2">
      <c r="A572" s="14"/>
    </row>
    <row r="573" spans="1:1" ht="14.25" customHeight="1" x14ac:dyDescent="0.2">
      <c r="A573" s="14"/>
    </row>
    <row r="574" spans="1:1" ht="14.25" customHeight="1" x14ac:dyDescent="0.2">
      <c r="A574" s="14"/>
    </row>
    <row r="575" spans="1:1" ht="14.25" customHeight="1" x14ac:dyDescent="0.2">
      <c r="A575" s="14"/>
    </row>
    <row r="576" spans="1:1" ht="14.25" customHeight="1" x14ac:dyDescent="0.2">
      <c r="A576" s="14"/>
    </row>
    <row r="577" spans="1:1" ht="14.25" customHeight="1" x14ac:dyDescent="0.2">
      <c r="A577" s="14"/>
    </row>
    <row r="578" spans="1:1" ht="14.25" customHeight="1" x14ac:dyDescent="0.2">
      <c r="A578" s="14"/>
    </row>
    <row r="579" spans="1:1" ht="14.25" customHeight="1" x14ac:dyDescent="0.2">
      <c r="A579" s="14"/>
    </row>
    <row r="580" spans="1:1" ht="14.25" customHeight="1" x14ac:dyDescent="0.2">
      <c r="A580" s="14"/>
    </row>
    <row r="581" spans="1:1" ht="14.25" customHeight="1" x14ac:dyDescent="0.2">
      <c r="A581" s="14"/>
    </row>
    <row r="582" spans="1:1" ht="14.25" customHeight="1" x14ac:dyDescent="0.2">
      <c r="A582" s="14"/>
    </row>
    <row r="583" spans="1:1" ht="14.25" customHeight="1" x14ac:dyDescent="0.2">
      <c r="A583" s="14"/>
    </row>
    <row r="584" spans="1:1" ht="14.25" customHeight="1" x14ac:dyDescent="0.2">
      <c r="A584" s="14"/>
    </row>
    <row r="585" spans="1:1" ht="14.25" customHeight="1" x14ac:dyDescent="0.2">
      <c r="A585" s="14"/>
    </row>
    <row r="586" spans="1:1" ht="14.25" customHeight="1" x14ac:dyDescent="0.2">
      <c r="A586" s="14"/>
    </row>
    <row r="587" spans="1:1" ht="14.25" customHeight="1" x14ac:dyDescent="0.2">
      <c r="A587" s="14"/>
    </row>
    <row r="588" spans="1:1" ht="14.25" customHeight="1" x14ac:dyDescent="0.2">
      <c r="A588" s="14"/>
    </row>
    <row r="589" spans="1:1" ht="14.25" customHeight="1" x14ac:dyDescent="0.2">
      <c r="A589" s="14"/>
    </row>
    <row r="590" spans="1:1" ht="14.25" customHeight="1" x14ac:dyDescent="0.2">
      <c r="A590" s="14"/>
    </row>
    <row r="591" spans="1:1" ht="14.25" customHeight="1" x14ac:dyDescent="0.2">
      <c r="A591" s="14"/>
    </row>
    <row r="592" spans="1:1" ht="14.25" customHeight="1" x14ac:dyDescent="0.2">
      <c r="A592" s="14"/>
    </row>
    <row r="593" spans="1:1" ht="14.25" customHeight="1" x14ac:dyDescent="0.2">
      <c r="A593" s="14"/>
    </row>
    <row r="594" spans="1:1" ht="14.25" customHeight="1" x14ac:dyDescent="0.2">
      <c r="A594" s="14"/>
    </row>
    <row r="595" spans="1:1" ht="14.25" customHeight="1" x14ac:dyDescent="0.2">
      <c r="A595" s="14"/>
    </row>
    <row r="596" spans="1:1" ht="14.25" customHeight="1" x14ac:dyDescent="0.2">
      <c r="A596" s="14"/>
    </row>
    <row r="597" spans="1:1" ht="14.25" customHeight="1" x14ac:dyDescent="0.2">
      <c r="A597" s="14"/>
    </row>
    <row r="598" spans="1:1" ht="14.25" customHeight="1" x14ac:dyDescent="0.2">
      <c r="A598" s="14"/>
    </row>
    <row r="599" spans="1:1" ht="14.25" customHeight="1" x14ac:dyDescent="0.2">
      <c r="A599" s="14"/>
    </row>
    <row r="600" spans="1:1" ht="14.25" customHeight="1" x14ac:dyDescent="0.2">
      <c r="A600" s="14"/>
    </row>
    <row r="601" spans="1:1" ht="14.25" customHeight="1" x14ac:dyDescent="0.2">
      <c r="A601" s="14"/>
    </row>
    <row r="602" spans="1:1" ht="14.25" customHeight="1" x14ac:dyDescent="0.2">
      <c r="A602" s="14"/>
    </row>
    <row r="603" spans="1:1" ht="14.25" customHeight="1" x14ac:dyDescent="0.2">
      <c r="A603" s="14"/>
    </row>
    <row r="604" spans="1:1" ht="14.25" customHeight="1" x14ac:dyDescent="0.2">
      <c r="A604" s="14"/>
    </row>
    <row r="605" spans="1:1" ht="14.25" customHeight="1" x14ac:dyDescent="0.2">
      <c r="A605" s="14"/>
    </row>
    <row r="606" spans="1:1" ht="14.25" customHeight="1" x14ac:dyDescent="0.2">
      <c r="A606" s="14"/>
    </row>
    <row r="607" spans="1:1" ht="14.25" customHeight="1" x14ac:dyDescent="0.2">
      <c r="A607" s="14"/>
    </row>
    <row r="608" spans="1:1" ht="14.25" customHeight="1" x14ac:dyDescent="0.2">
      <c r="A608" s="14"/>
    </row>
    <row r="609" spans="1:1" ht="14.25" customHeight="1" x14ac:dyDescent="0.2">
      <c r="A609" s="14"/>
    </row>
    <row r="610" spans="1:1" ht="14.25" customHeight="1" x14ac:dyDescent="0.2">
      <c r="A610" s="14"/>
    </row>
    <row r="611" spans="1:1" ht="14.25" customHeight="1" x14ac:dyDescent="0.2">
      <c r="A611" s="14"/>
    </row>
    <row r="612" spans="1:1" ht="14.25" customHeight="1" x14ac:dyDescent="0.2">
      <c r="A612" s="14"/>
    </row>
    <row r="613" spans="1:1" ht="14.25" customHeight="1" x14ac:dyDescent="0.2">
      <c r="A613" s="14"/>
    </row>
    <row r="614" spans="1:1" ht="14.25" customHeight="1" x14ac:dyDescent="0.2">
      <c r="A614" s="14"/>
    </row>
    <row r="615" spans="1:1" ht="14.25" customHeight="1" x14ac:dyDescent="0.2">
      <c r="A615" s="14"/>
    </row>
    <row r="616" spans="1:1" ht="14.25" customHeight="1" x14ac:dyDescent="0.2">
      <c r="A616" s="14"/>
    </row>
    <row r="617" spans="1:1" ht="14.25" customHeight="1" x14ac:dyDescent="0.2">
      <c r="A617" s="14"/>
    </row>
    <row r="618" spans="1:1" ht="14.25" customHeight="1" x14ac:dyDescent="0.2">
      <c r="A618" s="14"/>
    </row>
    <row r="619" spans="1:1" ht="14.25" customHeight="1" x14ac:dyDescent="0.2">
      <c r="A619" s="14"/>
    </row>
    <row r="620" spans="1:1" ht="14.25" customHeight="1" x14ac:dyDescent="0.2">
      <c r="A620" s="14"/>
    </row>
    <row r="621" spans="1:1" ht="14.25" customHeight="1" x14ac:dyDescent="0.2">
      <c r="A621" s="14"/>
    </row>
    <row r="622" spans="1:1" ht="14.25" customHeight="1" x14ac:dyDescent="0.2">
      <c r="A622" s="14"/>
    </row>
    <row r="623" spans="1:1" ht="14.25" customHeight="1" x14ac:dyDescent="0.2">
      <c r="A623" s="14"/>
    </row>
    <row r="624" spans="1:1" ht="14.25" customHeight="1" x14ac:dyDescent="0.2">
      <c r="A624" s="14"/>
    </row>
    <row r="625" spans="1:1" ht="14.25" customHeight="1" x14ac:dyDescent="0.2">
      <c r="A625" s="14"/>
    </row>
    <row r="626" spans="1:1" ht="14.25" customHeight="1" x14ac:dyDescent="0.2">
      <c r="A626" s="14"/>
    </row>
    <row r="627" spans="1:1" ht="14.25" customHeight="1" x14ac:dyDescent="0.2">
      <c r="A627" s="14"/>
    </row>
    <row r="628" spans="1:1" ht="14.25" customHeight="1" x14ac:dyDescent="0.2">
      <c r="A628" s="14"/>
    </row>
    <row r="629" spans="1:1" ht="14.25" customHeight="1" x14ac:dyDescent="0.2">
      <c r="A629" s="14"/>
    </row>
    <row r="630" spans="1:1" ht="14.25" customHeight="1" x14ac:dyDescent="0.2">
      <c r="A630" s="14"/>
    </row>
    <row r="631" spans="1:1" ht="14.25" customHeight="1" x14ac:dyDescent="0.2">
      <c r="A631" s="14"/>
    </row>
    <row r="632" spans="1:1" ht="14.25" customHeight="1" x14ac:dyDescent="0.2">
      <c r="A632" s="14"/>
    </row>
    <row r="633" spans="1:1" ht="14.25" customHeight="1" x14ac:dyDescent="0.2">
      <c r="A633" s="14"/>
    </row>
    <row r="634" spans="1:1" ht="14.25" customHeight="1" x14ac:dyDescent="0.2">
      <c r="A634" s="14"/>
    </row>
    <row r="635" spans="1:1" ht="14.25" customHeight="1" x14ac:dyDescent="0.2">
      <c r="A635" s="14"/>
    </row>
    <row r="636" spans="1:1" ht="14.25" customHeight="1" x14ac:dyDescent="0.2">
      <c r="A636" s="14"/>
    </row>
    <row r="637" spans="1:1" ht="14.25" customHeight="1" x14ac:dyDescent="0.2">
      <c r="A637" s="14"/>
    </row>
    <row r="638" spans="1:1" ht="14.25" customHeight="1" x14ac:dyDescent="0.2">
      <c r="A638" s="14"/>
    </row>
    <row r="639" spans="1:1" ht="14.25" customHeight="1" x14ac:dyDescent="0.2">
      <c r="A639" s="14"/>
    </row>
    <row r="640" spans="1:1" ht="14.25" customHeight="1" x14ac:dyDescent="0.2">
      <c r="A640" s="14"/>
    </row>
    <row r="641" spans="1:1" ht="14.25" customHeight="1" x14ac:dyDescent="0.2">
      <c r="A641" s="14"/>
    </row>
    <row r="642" spans="1:1" ht="14.25" customHeight="1" x14ac:dyDescent="0.2">
      <c r="A642" s="14"/>
    </row>
    <row r="643" spans="1:1" ht="14.25" customHeight="1" x14ac:dyDescent="0.2">
      <c r="A643" s="14"/>
    </row>
    <row r="644" spans="1:1" ht="14.25" customHeight="1" x14ac:dyDescent="0.2">
      <c r="A644" s="14"/>
    </row>
    <row r="645" spans="1:1" ht="14.25" customHeight="1" x14ac:dyDescent="0.2">
      <c r="A645" s="14"/>
    </row>
    <row r="646" spans="1:1" ht="14.25" customHeight="1" x14ac:dyDescent="0.2">
      <c r="A646" s="14"/>
    </row>
    <row r="647" spans="1:1" ht="14.25" customHeight="1" x14ac:dyDescent="0.2">
      <c r="A647" s="14"/>
    </row>
    <row r="648" spans="1:1" ht="14.25" customHeight="1" x14ac:dyDescent="0.2">
      <c r="A648" s="14"/>
    </row>
    <row r="649" spans="1:1" ht="14.25" customHeight="1" x14ac:dyDescent="0.2">
      <c r="A649" s="14"/>
    </row>
    <row r="650" spans="1:1" ht="14.25" customHeight="1" x14ac:dyDescent="0.2">
      <c r="A650" s="14"/>
    </row>
    <row r="651" spans="1:1" ht="14.25" customHeight="1" x14ac:dyDescent="0.2">
      <c r="A651" s="14"/>
    </row>
    <row r="652" spans="1:1" ht="14.25" customHeight="1" x14ac:dyDescent="0.2">
      <c r="A652" s="14"/>
    </row>
    <row r="653" spans="1:1" ht="14.25" customHeight="1" x14ac:dyDescent="0.2">
      <c r="A653" s="14"/>
    </row>
    <row r="654" spans="1:1" ht="14.25" customHeight="1" x14ac:dyDescent="0.2">
      <c r="A654" s="14"/>
    </row>
    <row r="655" spans="1:1" ht="14.25" customHeight="1" x14ac:dyDescent="0.2">
      <c r="A655" s="14"/>
    </row>
    <row r="656" spans="1:1" ht="14.25" customHeight="1" x14ac:dyDescent="0.2">
      <c r="A656" s="14"/>
    </row>
    <row r="657" spans="1:1" ht="14.25" customHeight="1" x14ac:dyDescent="0.2">
      <c r="A657" s="14"/>
    </row>
    <row r="658" spans="1:1" ht="14.25" customHeight="1" x14ac:dyDescent="0.2">
      <c r="A658" s="14"/>
    </row>
    <row r="659" spans="1:1" ht="14.25" customHeight="1" x14ac:dyDescent="0.2">
      <c r="A659" s="14"/>
    </row>
    <row r="660" spans="1:1" ht="14.25" customHeight="1" x14ac:dyDescent="0.2">
      <c r="A660" s="14"/>
    </row>
    <row r="661" spans="1:1" ht="14.25" customHeight="1" x14ac:dyDescent="0.2">
      <c r="A661" s="14"/>
    </row>
    <row r="662" spans="1:1" ht="14.25" customHeight="1" x14ac:dyDescent="0.2">
      <c r="A662" s="14"/>
    </row>
    <row r="663" spans="1:1" ht="14.25" customHeight="1" x14ac:dyDescent="0.2">
      <c r="A663" s="14"/>
    </row>
    <row r="664" spans="1:1" ht="14.25" customHeight="1" x14ac:dyDescent="0.2">
      <c r="A664" s="14"/>
    </row>
    <row r="665" spans="1:1" ht="14.25" customHeight="1" x14ac:dyDescent="0.2">
      <c r="A665" s="14"/>
    </row>
    <row r="666" spans="1:1" ht="14.25" customHeight="1" x14ac:dyDescent="0.2">
      <c r="A666" s="14"/>
    </row>
    <row r="667" spans="1:1" ht="14.25" customHeight="1" x14ac:dyDescent="0.2">
      <c r="A667" s="14"/>
    </row>
    <row r="668" spans="1:1" ht="14.25" customHeight="1" x14ac:dyDescent="0.2">
      <c r="A668" s="14"/>
    </row>
    <row r="669" spans="1:1" ht="14.25" customHeight="1" x14ac:dyDescent="0.2">
      <c r="A669" s="14"/>
    </row>
    <row r="670" spans="1:1" ht="14.25" customHeight="1" x14ac:dyDescent="0.2">
      <c r="A670" s="14"/>
    </row>
    <row r="671" spans="1:1" ht="14.25" customHeight="1" x14ac:dyDescent="0.2">
      <c r="A671" s="14"/>
    </row>
    <row r="672" spans="1:1" ht="14.25" customHeight="1" x14ac:dyDescent="0.2">
      <c r="A672" s="14"/>
    </row>
    <row r="673" spans="1:1" ht="14.25" customHeight="1" x14ac:dyDescent="0.2">
      <c r="A673" s="14"/>
    </row>
    <row r="674" spans="1:1" ht="14.25" customHeight="1" x14ac:dyDescent="0.2">
      <c r="A674" s="14"/>
    </row>
    <row r="675" spans="1:1" ht="14.25" customHeight="1" x14ac:dyDescent="0.2">
      <c r="A675" s="14"/>
    </row>
    <row r="676" spans="1:1" ht="14.25" customHeight="1" x14ac:dyDescent="0.2">
      <c r="A676" s="14"/>
    </row>
    <row r="677" spans="1:1" ht="14.25" customHeight="1" x14ac:dyDescent="0.2">
      <c r="A677" s="14"/>
    </row>
    <row r="678" spans="1:1" ht="14.25" customHeight="1" x14ac:dyDescent="0.2">
      <c r="A678" s="14"/>
    </row>
    <row r="679" spans="1:1" ht="14.25" customHeight="1" x14ac:dyDescent="0.2">
      <c r="A679" s="14"/>
    </row>
    <row r="680" spans="1:1" ht="14.25" customHeight="1" x14ac:dyDescent="0.2">
      <c r="A680" s="14"/>
    </row>
    <row r="681" spans="1:1" ht="14.25" customHeight="1" x14ac:dyDescent="0.2">
      <c r="A681" s="14"/>
    </row>
    <row r="682" spans="1:1" ht="14.25" customHeight="1" x14ac:dyDescent="0.2">
      <c r="A682" s="14"/>
    </row>
    <row r="683" spans="1:1" ht="14.25" customHeight="1" x14ac:dyDescent="0.2">
      <c r="A683" s="14"/>
    </row>
    <row r="684" spans="1:1" ht="14.25" customHeight="1" x14ac:dyDescent="0.2">
      <c r="A684" s="14"/>
    </row>
    <row r="685" spans="1:1" ht="14.25" customHeight="1" x14ac:dyDescent="0.2">
      <c r="A685" s="14"/>
    </row>
    <row r="686" spans="1:1" ht="14.25" customHeight="1" x14ac:dyDescent="0.2">
      <c r="A686" s="14"/>
    </row>
    <row r="687" spans="1:1" ht="14.25" customHeight="1" x14ac:dyDescent="0.2">
      <c r="A687" s="14"/>
    </row>
    <row r="688" spans="1:1" ht="14.25" customHeight="1" x14ac:dyDescent="0.2">
      <c r="A688" s="14"/>
    </row>
    <row r="689" spans="1:1" ht="14.25" customHeight="1" x14ac:dyDescent="0.2">
      <c r="A689" s="14"/>
    </row>
    <row r="690" spans="1:1" ht="14.25" customHeight="1" x14ac:dyDescent="0.2">
      <c r="A690" s="14"/>
    </row>
    <row r="691" spans="1:1" ht="14.25" customHeight="1" x14ac:dyDescent="0.2">
      <c r="A691" s="14"/>
    </row>
    <row r="692" spans="1:1" ht="14.25" customHeight="1" x14ac:dyDescent="0.2">
      <c r="A692" s="14"/>
    </row>
    <row r="693" spans="1:1" ht="14.25" customHeight="1" x14ac:dyDescent="0.2">
      <c r="A693" s="14"/>
    </row>
    <row r="694" spans="1:1" ht="14.25" customHeight="1" x14ac:dyDescent="0.2">
      <c r="A694" s="14"/>
    </row>
    <row r="695" spans="1:1" ht="14.25" customHeight="1" x14ac:dyDescent="0.2">
      <c r="A695" s="14"/>
    </row>
    <row r="696" spans="1:1" ht="14.25" customHeight="1" x14ac:dyDescent="0.2">
      <c r="A696" s="14"/>
    </row>
    <row r="697" spans="1:1" ht="14.25" customHeight="1" x14ac:dyDescent="0.2">
      <c r="A697" s="14"/>
    </row>
    <row r="698" spans="1:1" ht="14.25" customHeight="1" x14ac:dyDescent="0.2">
      <c r="A698" s="14"/>
    </row>
    <row r="699" spans="1:1" ht="14.25" customHeight="1" x14ac:dyDescent="0.2">
      <c r="A699" s="14"/>
    </row>
    <row r="700" spans="1:1" ht="14.25" customHeight="1" x14ac:dyDescent="0.2">
      <c r="A700" s="14"/>
    </row>
    <row r="701" spans="1:1" ht="14.25" customHeight="1" x14ac:dyDescent="0.2">
      <c r="A701" s="14"/>
    </row>
    <row r="702" spans="1:1" ht="14.25" customHeight="1" x14ac:dyDescent="0.2">
      <c r="A702" s="14"/>
    </row>
    <row r="703" spans="1:1" ht="14.25" customHeight="1" x14ac:dyDescent="0.2">
      <c r="A703" s="14"/>
    </row>
    <row r="704" spans="1:1" ht="14.25" customHeight="1" x14ac:dyDescent="0.2">
      <c r="A704" s="14"/>
    </row>
    <row r="705" spans="1:1" ht="14.25" customHeight="1" x14ac:dyDescent="0.2">
      <c r="A705" s="14"/>
    </row>
    <row r="706" spans="1:1" ht="14.25" customHeight="1" x14ac:dyDescent="0.2">
      <c r="A706" s="14"/>
    </row>
    <row r="707" spans="1:1" ht="14.25" customHeight="1" x14ac:dyDescent="0.2">
      <c r="A707" s="14"/>
    </row>
    <row r="708" spans="1:1" ht="14.25" customHeight="1" x14ac:dyDescent="0.2">
      <c r="A708" s="14"/>
    </row>
    <row r="709" spans="1:1" ht="14.25" customHeight="1" x14ac:dyDescent="0.2">
      <c r="A709" s="14"/>
    </row>
    <row r="710" spans="1:1" ht="14.25" customHeight="1" x14ac:dyDescent="0.2">
      <c r="A710" s="14"/>
    </row>
    <row r="711" spans="1:1" ht="14.25" customHeight="1" x14ac:dyDescent="0.2">
      <c r="A711" s="14"/>
    </row>
    <row r="712" spans="1:1" ht="14.25" customHeight="1" x14ac:dyDescent="0.2">
      <c r="A712" s="14"/>
    </row>
    <row r="713" spans="1:1" ht="14.25" customHeight="1" x14ac:dyDescent="0.2">
      <c r="A713" s="14"/>
    </row>
    <row r="714" spans="1:1" ht="14.25" customHeight="1" x14ac:dyDescent="0.2">
      <c r="A714" s="14"/>
    </row>
    <row r="715" spans="1:1" ht="14.25" customHeight="1" x14ac:dyDescent="0.2">
      <c r="A715" s="14"/>
    </row>
    <row r="716" spans="1:1" ht="14.25" customHeight="1" x14ac:dyDescent="0.2">
      <c r="A716" s="14"/>
    </row>
    <row r="717" spans="1:1" ht="14.25" customHeight="1" x14ac:dyDescent="0.2">
      <c r="A717" s="14"/>
    </row>
    <row r="718" spans="1:1" ht="14.25" customHeight="1" x14ac:dyDescent="0.2">
      <c r="A718" s="14"/>
    </row>
    <row r="719" spans="1:1" ht="14.25" customHeight="1" x14ac:dyDescent="0.2">
      <c r="A719" s="14"/>
    </row>
    <row r="720" spans="1:1" ht="14.25" customHeight="1" x14ac:dyDescent="0.2">
      <c r="A720" s="14"/>
    </row>
    <row r="721" spans="1:1" ht="14.25" customHeight="1" x14ac:dyDescent="0.2">
      <c r="A721" s="14"/>
    </row>
    <row r="722" spans="1:1" ht="14.25" customHeight="1" x14ac:dyDescent="0.2">
      <c r="A722" s="14"/>
    </row>
    <row r="723" spans="1:1" ht="14.25" customHeight="1" x14ac:dyDescent="0.2">
      <c r="A723" s="14"/>
    </row>
    <row r="724" spans="1:1" ht="14.25" customHeight="1" x14ac:dyDescent="0.2">
      <c r="A724" s="14"/>
    </row>
    <row r="725" spans="1:1" ht="14.25" customHeight="1" x14ac:dyDescent="0.2">
      <c r="A725" s="14"/>
    </row>
    <row r="726" spans="1:1" ht="14.25" customHeight="1" x14ac:dyDescent="0.2">
      <c r="A726" s="14"/>
    </row>
    <row r="727" spans="1:1" ht="14.25" customHeight="1" x14ac:dyDescent="0.2">
      <c r="A727" s="14"/>
    </row>
    <row r="728" spans="1:1" ht="14.25" customHeight="1" x14ac:dyDescent="0.2">
      <c r="A728" s="14"/>
    </row>
    <row r="729" spans="1:1" ht="14.25" customHeight="1" x14ac:dyDescent="0.2">
      <c r="A729" s="14"/>
    </row>
    <row r="730" spans="1:1" ht="14.25" customHeight="1" x14ac:dyDescent="0.2">
      <c r="A730" s="14"/>
    </row>
    <row r="731" spans="1:1" ht="14.25" customHeight="1" x14ac:dyDescent="0.2">
      <c r="A731" s="14"/>
    </row>
    <row r="732" spans="1:1" ht="14.25" customHeight="1" x14ac:dyDescent="0.2">
      <c r="A732" s="14"/>
    </row>
    <row r="733" spans="1:1" ht="14.25" customHeight="1" x14ac:dyDescent="0.2">
      <c r="A733" s="14"/>
    </row>
    <row r="734" spans="1:1" ht="14.25" customHeight="1" x14ac:dyDescent="0.2">
      <c r="A734" s="14"/>
    </row>
    <row r="735" spans="1:1" ht="14.25" customHeight="1" x14ac:dyDescent="0.2">
      <c r="A735" s="14"/>
    </row>
    <row r="736" spans="1:1" ht="14.25" customHeight="1" x14ac:dyDescent="0.2">
      <c r="A736" s="14"/>
    </row>
    <row r="737" spans="1:1" ht="14.25" customHeight="1" x14ac:dyDescent="0.2">
      <c r="A737" s="14"/>
    </row>
    <row r="738" spans="1:1" ht="14.25" customHeight="1" x14ac:dyDescent="0.2">
      <c r="A738" s="14"/>
    </row>
    <row r="739" spans="1:1" ht="14.25" customHeight="1" x14ac:dyDescent="0.2">
      <c r="A739" s="14"/>
    </row>
    <row r="740" spans="1:1" ht="14.25" customHeight="1" x14ac:dyDescent="0.2">
      <c r="A740" s="14"/>
    </row>
    <row r="741" spans="1:1" ht="14.25" customHeight="1" x14ac:dyDescent="0.2">
      <c r="A741" s="14"/>
    </row>
    <row r="742" spans="1:1" ht="14.25" customHeight="1" x14ac:dyDescent="0.2">
      <c r="A742" s="14"/>
    </row>
    <row r="743" spans="1:1" ht="14.25" customHeight="1" x14ac:dyDescent="0.2">
      <c r="A743" s="14"/>
    </row>
    <row r="744" spans="1:1" ht="14.25" customHeight="1" x14ac:dyDescent="0.2">
      <c r="A744" s="14"/>
    </row>
    <row r="745" spans="1:1" ht="14.25" customHeight="1" x14ac:dyDescent="0.2">
      <c r="A745" s="14"/>
    </row>
    <row r="746" spans="1:1" ht="14.25" customHeight="1" x14ac:dyDescent="0.2">
      <c r="A746" s="14"/>
    </row>
    <row r="747" spans="1:1" ht="14.25" customHeight="1" x14ac:dyDescent="0.2">
      <c r="A747" s="14"/>
    </row>
    <row r="748" spans="1:1" ht="14.25" customHeight="1" x14ac:dyDescent="0.2">
      <c r="A748" s="14"/>
    </row>
    <row r="749" spans="1:1" ht="14.25" customHeight="1" x14ac:dyDescent="0.2">
      <c r="A749" s="14"/>
    </row>
    <row r="750" spans="1:1" ht="14.25" customHeight="1" x14ac:dyDescent="0.2">
      <c r="A750" s="14"/>
    </row>
    <row r="751" spans="1:1" ht="14.25" customHeight="1" x14ac:dyDescent="0.2">
      <c r="A751" s="14"/>
    </row>
    <row r="752" spans="1:1" ht="14.25" customHeight="1" x14ac:dyDescent="0.2">
      <c r="A752" s="14"/>
    </row>
    <row r="753" spans="1:1" ht="14.25" customHeight="1" x14ac:dyDescent="0.2">
      <c r="A753" s="14"/>
    </row>
    <row r="754" spans="1:1" ht="14.25" customHeight="1" x14ac:dyDescent="0.2">
      <c r="A754" s="14"/>
    </row>
    <row r="755" spans="1:1" ht="14.25" customHeight="1" x14ac:dyDescent="0.2">
      <c r="A755" s="14"/>
    </row>
    <row r="756" spans="1:1" ht="14.25" customHeight="1" x14ac:dyDescent="0.2">
      <c r="A756" s="14"/>
    </row>
    <row r="757" spans="1:1" ht="14.25" customHeight="1" x14ac:dyDescent="0.2">
      <c r="A757" s="14"/>
    </row>
    <row r="758" spans="1:1" ht="14.25" customHeight="1" x14ac:dyDescent="0.2">
      <c r="A758" s="14"/>
    </row>
    <row r="759" spans="1:1" ht="14.25" customHeight="1" x14ac:dyDescent="0.2">
      <c r="A759" s="14"/>
    </row>
    <row r="760" spans="1:1" ht="14.25" customHeight="1" x14ac:dyDescent="0.2">
      <c r="A760" s="14"/>
    </row>
    <row r="761" spans="1:1" ht="14.25" customHeight="1" x14ac:dyDescent="0.2">
      <c r="A761" s="14"/>
    </row>
    <row r="762" spans="1:1" ht="14.25" customHeight="1" x14ac:dyDescent="0.2">
      <c r="A762" s="14"/>
    </row>
    <row r="763" spans="1:1" ht="14.25" customHeight="1" x14ac:dyDescent="0.2">
      <c r="A763" s="14"/>
    </row>
    <row r="764" spans="1:1" ht="14.25" customHeight="1" x14ac:dyDescent="0.2">
      <c r="A764" s="14"/>
    </row>
    <row r="765" spans="1:1" ht="14.25" customHeight="1" x14ac:dyDescent="0.2">
      <c r="A765" s="14"/>
    </row>
    <row r="766" spans="1:1" ht="14.25" customHeight="1" x14ac:dyDescent="0.2">
      <c r="A766" s="14"/>
    </row>
    <row r="767" spans="1:1" ht="14.25" customHeight="1" x14ac:dyDescent="0.2">
      <c r="A767" s="14"/>
    </row>
    <row r="768" spans="1:1" ht="14.25" customHeight="1" x14ac:dyDescent="0.2">
      <c r="A768" s="14"/>
    </row>
    <row r="769" spans="1:1" ht="14.25" customHeight="1" x14ac:dyDescent="0.2">
      <c r="A769" s="14"/>
    </row>
    <row r="770" spans="1:1" ht="14.25" customHeight="1" x14ac:dyDescent="0.2">
      <c r="A770" s="14"/>
    </row>
    <row r="771" spans="1:1" ht="14.25" customHeight="1" x14ac:dyDescent="0.2">
      <c r="A771" s="14"/>
    </row>
    <row r="772" spans="1:1" ht="14.25" customHeight="1" x14ac:dyDescent="0.2">
      <c r="A772" s="14"/>
    </row>
    <row r="773" spans="1:1" ht="14.25" customHeight="1" x14ac:dyDescent="0.2">
      <c r="A773" s="14"/>
    </row>
    <row r="774" spans="1:1" ht="14.25" customHeight="1" x14ac:dyDescent="0.2">
      <c r="A774" s="14"/>
    </row>
    <row r="775" spans="1:1" ht="14.25" customHeight="1" x14ac:dyDescent="0.2">
      <c r="A775" s="14"/>
    </row>
    <row r="776" spans="1:1" ht="14.25" customHeight="1" x14ac:dyDescent="0.2">
      <c r="A776" s="14"/>
    </row>
    <row r="777" spans="1:1" ht="14.25" customHeight="1" x14ac:dyDescent="0.2">
      <c r="A777" s="14"/>
    </row>
    <row r="778" spans="1:1" ht="14.25" customHeight="1" x14ac:dyDescent="0.2">
      <c r="A778" s="14"/>
    </row>
    <row r="779" spans="1:1" ht="14.25" customHeight="1" x14ac:dyDescent="0.2">
      <c r="A779" s="14"/>
    </row>
    <row r="780" spans="1:1" ht="14.25" customHeight="1" x14ac:dyDescent="0.2">
      <c r="A780" s="14"/>
    </row>
    <row r="781" spans="1:1" ht="14.25" customHeight="1" x14ac:dyDescent="0.2">
      <c r="A781" s="14"/>
    </row>
    <row r="782" spans="1:1" ht="14.25" customHeight="1" x14ac:dyDescent="0.2">
      <c r="A782" s="14"/>
    </row>
    <row r="783" spans="1:1" ht="14.25" customHeight="1" x14ac:dyDescent="0.2">
      <c r="A783" s="14"/>
    </row>
    <row r="784" spans="1:1" ht="14.25" customHeight="1" x14ac:dyDescent="0.2">
      <c r="A784" s="14"/>
    </row>
    <row r="785" spans="1:1" ht="14.25" customHeight="1" x14ac:dyDescent="0.2">
      <c r="A785" s="14"/>
    </row>
    <row r="786" spans="1:1" ht="14.25" customHeight="1" x14ac:dyDescent="0.2">
      <c r="A786" s="14"/>
    </row>
    <row r="787" spans="1:1" ht="14.25" customHeight="1" x14ac:dyDescent="0.2">
      <c r="A787" s="14"/>
    </row>
    <row r="788" spans="1:1" ht="14.25" customHeight="1" x14ac:dyDescent="0.2">
      <c r="A788" s="14"/>
    </row>
    <row r="789" spans="1:1" ht="14.25" customHeight="1" x14ac:dyDescent="0.2">
      <c r="A789" s="14"/>
    </row>
    <row r="790" spans="1:1" ht="14.25" customHeight="1" x14ac:dyDescent="0.2">
      <c r="A790" s="14"/>
    </row>
    <row r="791" spans="1:1" ht="14.25" customHeight="1" x14ac:dyDescent="0.2">
      <c r="A791" s="14"/>
    </row>
    <row r="792" spans="1:1" ht="14.25" customHeight="1" x14ac:dyDescent="0.2">
      <c r="A792" s="14"/>
    </row>
    <row r="793" spans="1:1" ht="14.25" customHeight="1" x14ac:dyDescent="0.2">
      <c r="A793" s="14"/>
    </row>
    <row r="794" spans="1:1" ht="14.25" customHeight="1" x14ac:dyDescent="0.2">
      <c r="A794" s="14"/>
    </row>
    <row r="795" spans="1:1" ht="14.25" customHeight="1" x14ac:dyDescent="0.2">
      <c r="A795" s="14"/>
    </row>
    <row r="796" spans="1:1" ht="14.25" customHeight="1" x14ac:dyDescent="0.2">
      <c r="A796" s="14"/>
    </row>
    <row r="797" spans="1:1" ht="14.25" customHeight="1" x14ac:dyDescent="0.2">
      <c r="A797" s="14"/>
    </row>
    <row r="798" spans="1:1" ht="14.25" customHeight="1" x14ac:dyDescent="0.2">
      <c r="A798" s="14"/>
    </row>
    <row r="799" spans="1:1" ht="14.25" customHeight="1" x14ac:dyDescent="0.2">
      <c r="A799" s="14"/>
    </row>
    <row r="800" spans="1:1" ht="14.25" customHeight="1" x14ac:dyDescent="0.2">
      <c r="A800" s="14"/>
    </row>
    <row r="801" spans="1:1" ht="14.25" customHeight="1" x14ac:dyDescent="0.2">
      <c r="A801" s="14"/>
    </row>
    <row r="802" spans="1:1" ht="14.25" customHeight="1" x14ac:dyDescent="0.2">
      <c r="A802" s="14"/>
    </row>
    <row r="803" spans="1:1" ht="14.25" customHeight="1" x14ac:dyDescent="0.2">
      <c r="A803" s="14"/>
    </row>
    <row r="804" spans="1:1" ht="14.25" customHeight="1" x14ac:dyDescent="0.2">
      <c r="A804" s="14"/>
    </row>
    <row r="805" spans="1:1" ht="14.25" customHeight="1" x14ac:dyDescent="0.2">
      <c r="A805" s="14"/>
    </row>
    <row r="806" spans="1:1" ht="14.25" customHeight="1" x14ac:dyDescent="0.2">
      <c r="A806" s="14"/>
    </row>
    <row r="807" spans="1:1" ht="14.25" customHeight="1" x14ac:dyDescent="0.2">
      <c r="A807" s="14"/>
    </row>
    <row r="808" spans="1:1" ht="14.25" customHeight="1" x14ac:dyDescent="0.2">
      <c r="A808" s="14"/>
    </row>
    <row r="809" spans="1:1" ht="14.25" customHeight="1" x14ac:dyDescent="0.2">
      <c r="A809" s="14"/>
    </row>
    <row r="810" spans="1:1" ht="14.25" customHeight="1" x14ac:dyDescent="0.2">
      <c r="A810" s="14"/>
    </row>
    <row r="811" spans="1:1" ht="14.25" customHeight="1" x14ac:dyDescent="0.2">
      <c r="A811" s="14"/>
    </row>
    <row r="812" spans="1:1" ht="14.25" customHeight="1" x14ac:dyDescent="0.2">
      <c r="A812" s="14"/>
    </row>
    <row r="813" spans="1:1" ht="14.25" customHeight="1" x14ac:dyDescent="0.2">
      <c r="A813" s="14"/>
    </row>
    <row r="814" spans="1:1" ht="14.25" customHeight="1" x14ac:dyDescent="0.2">
      <c r="A814" s="14"/>
    </row>
    <row r="815" spans="1:1" ht="14.25" customHeight="1" x14ac:dyDescent="0.2">
      <c r="A815" s="14"/>
    </row>
    <row r="816" spans="1:1" ht="14.25" customHeight="1" x14ac:dyDescent="0.2">
      <c r="A816" s="14"/>
    </row>
    <row r="817" spans="1:1" ht="14.25" customHeight="1" x14ac:dyDescent="0.2">
      <c r="A817" s="14"/>
    </row>
    <row r="818" spans="1:1" ht="14.25" customHeight="1" x14ac:dyDescent="0.2">
      <c r="A818" s="14"/>
    </row>
    <row r="819" spans="1:1" ht="14.25" customHeight="1" x14ac:dyDescent="0.2">
      <c r="A819" s="14"/>
    </row>
    <row r="820" spans="1:1" ht="14.25" customHeight="1" x14ac:dyDescent="0.2">
      <c r="A820" s="14"/>
    </row>
    <row r="821" spans="1:1" ht="14.25" customHeight="1" x14ac:dyDescent="0.2">
      <c r="A821" s="14"/>
    </row>
    <row r="822" spans="1:1" ht="14.25" customHeight="1" x14ac:dyDescent="0.2">
      <c r="A822" s="14"/>
    </row>
    <row r="823" spans="1:1" ht="14.25" customHeight="1" x14ac:dyDescent="0.2">
      <c r="A823" s="14"/>
    </row>
    <row r="824" spans="1:1" ht="14.25" customHeight="1" x14ac:dyDescent="0.2">
      <c r="A824" s="14"/>
    </row>
    <row r="825" spans="1:1" ht="14.25" customHeight="1" x14ac:dyDescent="0.2">
      <c r="A825" s="14"/>
    </row>
    <row r="826" spans="1:1" ht="14.25" customHeight="1" x14ac:dyDescent="0.2">
      <c r="A826" s="14"/>
    </row>
    <row r="827" spans="1:1" ht="14.25" customHeight="1" x14ac:dyDescent="0.2">
      <c r="A827" s="14"/>
    </row>
    <row r="828" spans="1:1" ht="14.25" customHeight="1" x14ac:dyDescent="0.2">
      <c r="A828" s="14"/>
    </row>
    <row r="829" spans="1:1" ht="14.25" customHeight="1" x14ac:dyDescent="0.2">
      <c r="A829" s="14"/>
    </row>
    <row r="830" spans="1:1" ht="14.25" customHeight="1" x14ac:dyDescent="0.2">
      <c r="A830" s="14"/>
    </row>
    <row r="831" spans="1:1" ht="14.25" customHeight="1" x14ac:dyDescent="0.2">
      <c r="A831" s="14"/>
    </row>
    <row r="832" spans="1:1" ht="14.25" customHeight="1" x14ac:dyDescent="0.2">
      <c r="A832" s="14"/>
    </row>
    <row r="833" spans="1:1" ht="14.25" customHeight="1" x14ac:dyDescent="0.2">
      <c r="A833" s="14"/>
    </row>
    <row r="834" spans="1:1" ht="14.25" customHeight="1" x14ac:dyDescent="0.2">
      <c r="A834" s="14"/>
    </row>
    <row r="835" spans="1:1" ht="14.25" customHeight="1" x14ac:dyDescent="0.2">
      <c r="A835" s="14"/>
    </row>
    <row r="836" spans="1:1" ht="14.25" customHeight="1" x14ac:dyDescent="0.2">
      <c r="A836" s="14"/>
    </row>
    <row r="837" spans="1:1" ht="14.25" customHeight="1" x14ac:dyDescent="0.2">
      <c r="A837" s="14"/>
    </row>
    <row r="838" spans="1:1" ht="14.25" customHeight="1" x14ac:dyDescent="0.2">
      <c r="A838" s="14"/>
    </row>
    <row r="839" spans="1:1" ht="14.25" customHeight="1" x14ac:dyDescent="0.2">
      <c r="A839" s="14"/>
    </row>
    <row r="840" spans="1:1" ht="14.25" customHeight="1" x14ac:dyDescent="0.2">
      <c r="A840" s="14"/>
    </row>
    <row r="841" spans="1:1" ht="14.25" customHeight="1" x14ac:dyDescent="0.2">
      <c r="A841" s="14"/>
    </row>
    <row r="842" spans="1:1" ht="14.25" customHeight="1" x14ac:dyDescent="0.2">
      <c r="A842" s="14"/>
    </row>
    <row r="843" spans="1:1" ht="14.25" customHeight="1" x14ac:dyDescent="0.2">
      <c r="A843" s="14"/>
    </row>
    <row r="844" spans="1:1" ht="14.25" customHeight="1" x14ac:dyDescent="0.2">
      <c r="A844" s="14"/>
    </row>
    <row r="845" spans="1:1" ht="14.25" customHeight="1" x14ac:dyDescent="0.2">
      <c r="A845" s="14"/>
    </row>
    <row r="846" spans="1:1" ht="14.25" customHeight="1" x14ac:dyDescent="0.2">
      <c r="A846" s="14"/>
    </row>
    <row r="847" spans="1:1" ht="14.25" customHeight="1" x14ac:dyDescent="0.2">
      <c r="A847" s="14"/>
    </row>
    <row r="848" spans="1:1" ht="14.25" customHeight="1" x14ac:dyDescent="0.2">
      <c r="A848" s="14"/>
    </row>
    <row r="849" spans="1:1" ht="14.25" customHeight="1" x14ac:dyDescent="0.2">
      <c r="A849" s="14"/>
    </row>
    <row r="850" spans="1:1" ht="14.25" customHeight="1" x14ac:dyDescent="0.2">
      <c r="A850" s="14"/>
    </row>
    <row r="851" spans="1:1" ht="14.25" customHeight="1" x14ac:dyDescent="0.2">
      <c r="A851" s="14"/>
    </row>
    <row r="852" spans="1:1" ht="14.25" customHeight="1" x14ac:dyDescent="0.2">
      <c r="A852" s="14"/>
    </row>
    <row r="853" spans="1:1" ht="14.25" customHeight="1" x14ac:dyDescent="0.2">
      <c r="A853" s="14"/>
    </row>
    <row r="854" spans="1:1" ht="14.25" customHeight="1" x14ac:dyDescent="0.2">
      <c r="A854" s="14"/>
    </row>
    <row r="855" spans="1:1" ht="14.25" customHeight="1" x14ac:dyDescent="0.2">
      <c r="A855" s="14"/>
    </row>
    <row r="856" spans="1:1" ht="14.25" customHeight="1" x14ac:dyDescent="0.2">
      <c r="A856" s="14"/>
    </row>
    <row r="857" spans="1:1" ht="14.25" customHeight="1" x14ac:dyDescent="0.2">
      <c r="A857" s="14"/>
    </row>
    <row r="858" spans="1:1" ht="14.25" customHeight="1" x14ac:dyDescent="0.2">
      <c r="A858" s="14"/>
    </row>
    <row r="859" spans="1:1" ht="14.25" customHeight="1" x14ac:dyDescent="0.2">
      <c r="A859" s="14"/>
    </row>
    <row r="860" spans="1:1" ht="14.25" customHeight="1" x14ac:dyDescent="0.2">
      <c r="A860" s="14"/>
    </row>
    <row r="861" spans="1:1" ht="14.25" customHeight="1" x14ac:dyDescent="0.2">
      <c r="A861" s="14"/>
    </row>
    <row r="862" spans="1:1" ht="14.25" customHeight="1" x14ac:dyDescent="0.2">
      <c r="A862" s="14"/>
    </row>
    <row r="863" spans="1:1" ht="14.25" customHeight="1" x14ac:dyDescent="0.2">
      <c r="A863" s="14"/>
    </row>
    <row r="864" spans="1:1" ht="14.25" customHeight="1" x14ac:dyDescent="0.2">
      <c r="A864" s="14"/>
    </row>
    <row r="865" spans="1:1" ht="14.25" customHeight="1" x14ac:dyDescent="0.2">
      <c r="A865" s="14"/>
    </row>
    <row r="866" spans="1:1" ht="14.25" customHeight="1" x14ac:dyDescent="0.2">
      <c r="A866" s="14"/>
    </row>
    <row r="867" spans="1:1" ht="14.25" customHeight="1" x14ac:dyDescent="0.2">
      <c r="A867" s="14"/>
    </row>
    <row r="868" spans="1:1" ht="14.25" customHeight="1" x14ac:dyDescent="0.2">
      <c r="A868" s="14"/>
    </row>
    <row r="869" spans="1:1" ht="14.25" customHeight="1" x14ac:dyDescent="0.2">
      <c r="A869" s="14"/>
    </row>
    <row r="870" spans="1:1" ht="14.25" customHeight="1" x14ac:dyDescent="0.2">
      <c r="A870" s="14"/>
    </row>
    <row r="871" spans="1:1" ht="14.25" customHeight="1" x14ac:dyDescent="0.2">
      <c r="A871" s="14"/>
    </row>
    <row r="872" spans="1:1" ht="14.25" customHeight="1" x14ac:dyDescent="0.2">
      <c r="A872" s="14"/>
    </row>
    <row r="873" spans="1:1" ht="14.25" customHeight="1" x14ac:dyDescent="0.2">
      <c r="A873" s="14"/>
    </row>
    <row r="874" spans="1:1" ht="14.25" customHeight="1" x14ac:dyDescent="0.2">
      <c r="A874" s="14"/>
    </row>
    <row r="875" spans="1:1" ht="14.25" customHeight="1" x14ac:dyDescent="0.2">
      <c r="A875" s="14"/>
    </row>
    <row r="876" spans="1:1" ht="14.25" customHeight="1" x14ac:dyDescent="0.2">
      <c r="A876" s="14"/>
    </row>
    <row r="877" spans="1:1" ht="14.25" customHeight="1" x14ac:dyDescent="0.2">
      <c r="A877" s="14"/>
    </row>
    <row r="878" spans="1:1" ht="14.25" customHeight="1" x14ac:dyDescent="0.2">
      <c r="A878" s="14"/>
    </row>
    <row r="879" spans="1:1" ht="14.25" customHeight="1" x14ac:dyDescent="0.2">
      <c r="A879" s="14"/>
    </row>
    <row r="880" spans="1:1" ht="14.25" customHeight="1" x14ac:dyDescent="0.2">
      <c r="A880" s="14"/>
    </row>
    <row r="881" spans="1:1" ht="14.25" customHeight="1" x14ac:dyDescent="0.2">
      <c r="A881" s="14"/>
    </row>
    <row r="882" spans="1:1" ht="14.25" customHeight="1" x14ac:dyDescent="0.2">
      <c r="A882" s="14"/>
    </row>
    <row r="883" spans="1:1" ht="14.25" customHeight="1" x14ac:dyDescent="0.2">
      <c r="A883" s="14"/>
    </row>
    <row r="884" spans="1:1" ht="14.25" customHeight="1" x14ac:dyDescent="0.2">
      <c r="A884" s="14"/>
    </row>
    <row r="885" spans="1:1" ht="14.25" customHeight="1" x14ac:dyDescent="0.2">
      <c r="A885" s="14"/>
    </row>
    <row r="886" spans="1:1" ht="14.25" customHeight="1" x14ac:dyDescent="0.2">
      <c r="A886" s="14"/>
    </row>
    <row r="887" spans="1:1" ht="14.25" customHeight="1" x14ac:dyDescent="0.2">
      <c r="A887" s="14"/>
    </row>
    <row r="888" spans="1:1" ht="14.25" customHeight="1" x14ac:dyDescent="0.2">
      <c r="A888" s="14"/>
    </row>
    <row r="889" spans="1:1" ht="14.25" customHeight="1" x14ac:dyDescent="0.2">
      <c r="A889" s="14"/>
    </row>
    <row r="890" spans="1:1" ht="14.25" customHeight="1" x14ac:dyDescent="0.2">
      <c r="A890" s="14"/>
    </row>
    <row r="891" spans="1:1" ht="14.25" customHeight="1" x14ac:dyDescent="0.2">
      <c r="A891" s="14"/>
    </row>
    <row r="892" spans="1:1" ht="14.25" customHeight="1" x14ac:dyDescent="0.2">
      <c r="A892" s="14"/>
    </row>
    <row r="893" spans="1:1" ht="14.25" customHeight="1" x14ac:dyDescent="0.2">
      <c r="A893" s="14"/>
    </row>
    <row r="894" spans="1:1" ht="14.25" customHeight="1" x14ac:dyDescent="0.2">
      <c r="A894" s="14"/>
    </row>
    <row r="895" spans="1:1" ht="14.25" customHeight="1" x14ac:dyDescent="0.2">
      <c r="A895" s="14"/>
    </row>
    <row r="896" spans="1:1" ht="14.25" customHeight="1" x14ac:dyDescent="0.2">
      <c r="A896" s="14"/>
    </row>
    <row r="897" spans="1:1" ht="14.25" customHeight="1" x14ac:dyDescent="0.2">
      <c r="A897" s="14"/>
    </row>
    <row r="898" spans="1:1" ht="14.25" customHeight="1" x14ac:dyDescent="0.2">
      <c r="A898" s="14"/>
    </row>
    <row r="899" spans="1:1" ht="14.25" customHeight="1" x14ac:dyDescent="0.2">
      <c r="A899" s="14"/>
    </row>
    <row r="900" spans="1:1" ht="14.25" customHeight="1" x14ac:dyDescent="0.2">
      <c r="A900" s="14"/>
    </row>
    <row r="901" spans="1:1" ht="14.25" customHeight="1" x14ac:dyDescent="0.2">
      <c r="A901" s="14"/>
    </row>
    <row r="902" spans="1:1" ht="14.25" customHeight="1" x14ac:dyDescent="0.2">
      <c r="A902" s="14"/>
    </row>
    <row r="903" spans="1:1" ht="14.25" customHeight="1" x14ac:dyDescent="0.2">
      <c r="A903" s="14"/>
    </row>
    <row r="904" spans="1:1" ht="14.25" customHeight="1" x14ac:dyDescent="0.2">
      <c r="A904" s="14"/>
    </row>
    <row r="905" spans="1:1" ht="14.25" customHeight="1" x14ac:dyDescent="0.2">
      <c r="A905" s="14"/>
    </row>
    <row r="906" spans="1:1" ht="14.25" customHeight="1" x14ac:dyDescent="0.2">
      <c r="A906" s="14"/>
    </row>
    <row r="907" spans="1:1" ht="14.25" customHeight="1" x14ac:dyDescent="0.2">
      <c r="A907" s="14"/>
    </row>
    <row r="908" spans="1:1" ht="14.25" customHeight="1" x14ac:dyDescent="0.2">
      <c r="A908" s="14"/>
    </row>
    <row r="909" spans="1:1" ht="14.25" customHeight="1" x14ac:dyDescent="0.2">
      <c r="A909" s="14"/>
    </row>
    <row r="910" spans="1:1" ht="14.25" customHeight="1" x14ac:dyDescent="0.2">
      <c r="A910" s="14"/>
    </row>
    <row r="911" spans="1:1" ht="14.25" customHeight="1" x14ac:dyDescent="0.2">
      <c r="A911" s="14"/>
    </row>
    <row r="912" spans="1:1" ht="14.25" customHeight="1" x14ac:dyDescent="0.2">
      <c r="A912" s="14"/>
    </row>
    <row r="913" spans="1:1" ht="14.25" customHeight="1" x14ac:dyDescent="0.2">
      <c r="A913" s="14"/>
    </row>
    <row r="914" spans="1:1" ht="14.25" customHeight="1" x14ac:dyDescent="0.2">
      <c r="A914" s="14"/>
    </row>
    <row r="915" spans="1:1" ht="14.25" customHeight="1" x14ac:dyDescent="0.2">
      <c r="A915" s="14"/>
    </row>
    <row r="916" spans="1:1" ht="14.25" customHeight="1" x14ac:dyDescent="0.2">
      <c r="A916" s="14"/>
    </row>
    <row r="917" spans="1:1" ht="14.25" customHeight="1" x14ac:dyDescent="0.2">
      <c r="A917" s="14"/>
    </row>
    <row r="918" spans="1:1" ht="14.25" customHeight="1" x14ac:dyDescent="0.2">
      <c r="A918" s="14"/>
    </row>
    <row r="919" spans="1:1" ht="14.25" customHeight="1" x14ac:dyDescent="0.2">
      <c r="A919" s="14"/>
    </row>
    <row r="920" spans="1:1" ht="14.25" customHeight="1" x14ac:dyDescent="0.2">
      <c r="A920" s="14"/>
    </row>
    <row r="921" spans="1:1" ht="14.25" customHeight="1" x14ac:dyDescent="0.2">
      <c r="A921" s="14"/>
    </row>
    <row r="922" spans="1:1" ht="14.25" customHeight="1" x14ac:dyDescent="0.2">
      <c r="A922" s="14"/>
    </row>
    <row r="923" spans="1:1" ht="14.25" customHeight="1" x14ac:dyDescent="0.2">
      <c r="A923" s="14"/>
    </row>
    <row r="924" spans="1:1" ht="14.25" customHeight="1" x14ac:dyDescent="0.2">
      <c r="A924" s="14"/>
    </row>
    <row r="925" spans="1:1" ht="14.25" customHeight="1" x14ac:dyDescent="0.2">
      <c r="A925" s="14"/>
    </row>
    <row r="926" spans="1:1" ht="14.25" customHeight="1" x14ac:dyDescent="0.2">
      <c r="A926" s="14"/>
    </row>
    <row r="927" spans="1:1" ht="14.25" customHeight="1" x14ac:dyDescent="0.2">
      <c r="A927" s="14"/>
    </row>
    <row r="928" spans="1:1" ht="14.25" customHeight="1" x14ac:dyDescent="0.2">
      <c r="A928" s="14"/>
    </row>
    <row r="929" spans="1:1" ht="14.25" customHeight="1" x14ac:dyDescent="0.2">
      <c r="A929" s="14"/>
    </row>
    <row r="930" spans="1:1" ht="14.25" customHeight="1" x14ac:dyDescent="0.2">
      <c r="A930" s="14"/>
    </row>
    <row r="931" spans="1:1" ht="14.25" customHeight="1" x14ac:dyDescent="0.2">
      <c r="A931" s="14"/>
    </row>
    <row r="932" spans="1:1" ht="14.25" customHeight="1" x14ac:dyDescent="0.2">
      <c r="A932" s="14"/>
    </row>
    <row r="933" spans="1:1" ht="14.25" customHeight="1" x14ac:dyDescent="0.2">
      <c r="A933" s="14"/>
    </row>
    <row r="934" spans="1:1" ht="14.25" customHeight="1" x14ac:dyDescent="0.2">
      <c r="A934" s="14"/>
    </row>
    <row r="935" spans="1:1" ht="14.25" customHeight="1" x14ac:dyDescent="0.2">
      <c r="A935" s="14"/>
    </row>
    <row r="936" spans="1:1" ht="14.25" customHeight="1" x14ac:dyDescent="0.2">
      <c r="A936" s="14"/>
    </row>
    <row r="937" spans="1:1" ht="14.25" customHeight="1" x14ac:dyDescent="0.2">
      <c r="A937" s="14"/>
    </row>
    <row r="938" spans="1:1" ht="14.25" customHeight="1" x14ac:dyDescent="0.2">
      <c r="A938" s="14"/>
    </row>
    <row r="939" spans="1:1" ht="14.25" customHeight="1" x14ac:dyDescent="0.2">
      <c r="A939" s="14"/>
    </row>
    <row r="940" spans="1:1" ht="14.25" customHeight="1" x14ac:dyDescent="0.2">
      <c r="A940" s="14"/>
    </row>
    <row r="941" spans="1:1" ht="14.25" customHeight="1" x14ac:dyDescent="0.2">
      <c r="A941" s="14"/>
    </row>
    <row r="942" spans="1:1" ht="14.25" customHeight="1" x14ac:dyDescent="0.2">
      <c r="A942" s="14"/>
    </row>
    <row r="943" spans="1:1" ht="14.25" customHeight="1" x14ac:dyDescent="0.2">
      <c r="A943" s="14"/>
    </row>
    <row r="944" spans="1:1" ht="14.25" customHeight="1" x14ac:dyDescent="0.2">
      <c r="A944" s="14"/>
    </row>
    <row r="945" spans="1:1" ht="14.25" customHeight="1" x14ac:dyDescent="0.2">
      <c r="A945" s="14"/>
    </row>
    <row r="946" spans="1:1" ht="14.25" customHeight="1" x14ac:dyDescent="0.2">
      <c r="A946" s="14"/>
    </row>
    <row r="947" spans="1:1" ht="14.25" customHeight="1" x14ac:dyDescent="0.2">
      <c r="A947" s="14"/>
    </row>
    <row r="948" spans="1:1" ht="14.25" customHeight="1" x14ac:dyDescent="0.2">
      <c r="A948" s="14"/>
    </row>
    <row r="949" spans="1:1" ht="14.25" customHeight="1" x14ac:dyDescent="0.2">
      <c r="A949" s="14"/>
    </row>
    <row r="950" spans="1:1" ht="14.25" customHeight="1" x14ac:dyDescent="0.2">
      <c r="A950" s="14"/>
    </row>
    <row r="951" spans="1:1" ht="14.25" customHeight="1" x14ac:dyDescent="0.2">
      <c r="A951" s="14"/>
    </row>
    <row r="952" spans="1:1" ht="14.25" customHeight="1" x14ac:dyDescent="0.2">
      <c r="A952" s="14"/>
    </row>
    <row r="953" spans="1:1" ht="14.25" customHeight="1" x14ac:dyDescent="0.2">
      <c r="A953" s="14"/>
    </row>
    <row r="954" spans="1:1" ht="14.25" customHeight="1" x14ac:dyDescent="0.2">
      <c r="A954" s="14"/>
    </row>
    <row r="955" spans="1:1" ht="14.25" customHeight="1" x14ac:dyDescent="0.2">
      <c r="A955" s="14"/>
    </row>
    <row r="956" spans="1:1" ht="14.25" customHeight="1" x14ac:dyDescent="0.2">
      <c r="A956" s="14"/>
    </row>
    <row r="957" spans="1:1" ht="14.25" customHeight="1" x14ac:dyDescent="0.2">
      <c r="A957" s="14"/>
    </row>
    <row r="958" spans="1:1" ht="14.25" customHeight="1" x14ac:dyDescent="0.2">
      <c r="A958" s="14"/>
    </row>
    <row r="959" spans="1:1" ht="14.25" customHeight="1" x14ac:dyDescent="0.2">
      <c r="A959" s="14"/>
    </row>
    <row r="960" spans="1:1" ht="14.25" customHeight="1" x14ac:dyDescent="0.2">
      <c r="A960" s="14"/>
    </row>
    <row r="961" spans="1:1" ht="14.25" customHeight="1" x14ac:dyDescent="0.2">
      <c r="A961" s="14"/>
    </row>
    <row r="962" spans="1:1" ht="14.25" customHeight="1" x14ac:dyDescent="0.2">
      <c r="A962" s="14"/>
    </row>
    <row r="963" spans="1:1" ht="14.25" customHeight="1" x14ac:dyDescent="0.2">
      <c r="A963" s="14"/>
    </row>
    <row r="964" spans="1:1" ht="14.25" customHeight="1" x14ac:dyDescent="0.2">
      <c r="A964" s="14"/>
    </row>
    <row r="965" spans="1:1" ht="14.25" customHeight="1" x14ac:dyDescent="0.2">
      <c r="A965" s="14"/>
    </row>
    <row r="966" spans="1:1" ht="14.25" customHeight="1" x14ac:dyDescent="0.2">
      <c r="A966" s="14"/>
    </row>
    <row r="967" spans="1:1" ht="14.25" customHeight="1" x14ac:dyDescent="0.2">
      <c r="A967" s="14"/>
    </row>
    <row r="968" spans="1:1" ht="14.25" customHeight="1" x14ac:dyDescent="0.2">
      <c r="A968" s="14"/>
    </row>
    <row r="969" spans="1:1" ht="14.25" customHeight="1" x14ac:dyDescent="0.2">
      <c r="A969" s="14"/>
    </row>
    <row r="970" spans="1:1" ht="14.25" customHeight="1" x14ac:dyDescent="0.2">
      <c r="A970" s="14"/>
    </row>
    <row r="971" spans="1:1" ht="14.25" customHeight="1" x14ac:dyDescent="0.2">
      <c r="A971" s="14"/>
    </row>
    <row r="972" spans="1:1" ht="14.25" customHeight="1" x14ac:dyDescent="0.2">
      <c r="A972" s="14"/>
    </row>
    <row r="973" spans="1:1" ht="14.25" customHeight="1" x14ac:dyDescent="0.2">
      <c r="A973" s="14"/>
    </row>
    <row r="974" spans="1:1" ht="14.25" customHeight="1" x14ac:dyDescent="0.2">
      <c r="A974" s="14"/>
    </row>
    <row r="975" spans="1:1" ht="14.25" customHeight="1" x14ac:dyDescent="0.2">
      <c r="A975" s="14"/>
    </row>
    <row r="976" spans="1:1" ht="14.25" customHeight="1" x14ac:dyDescent="0.2">
      <c r="A976" s="14"/>
    </row>
    <row r="977" spans="1:1" ht="14.25" customHeight="1" x14ac:dyDescent="0.2">
      <c r="A977" s="14"/>
    </row>
    <row r="978" spans="1:1" ht="14.25" customHeight="1" x14ac:dyDescent="0.2">
      <c r="A978" s="14"/>
    </row>
    <row r="979" spans="1:1" ht="14.25" customHeight="1" x14ac:dyDescent="0.2">
      <c r="A979" s="14"/>
    </row>
    <row r="980" spans="1:1" ht="14.25" customHeight="1" x14ac:dyDescent="0.2">
      <c r="A980" s="14"/>
    </row>
    <row r="981" spans="1:1" ht="14.25" customHeight="1" x14ac:dyDescent="0.2">
      <c r="A981" s="14"/>
    </row>
    <row r="982" spans="1:1" ht="14.25" customHeight="1" x14ac:dyDescent="0.2">
      <c r="A982" s="14"/>
    </row>
    <row r="983" spans="1:1" ht="14.25" customHeight="1" x14ac:dyDescent="0.2">
      <c r="A983" s="14"/>
    </row>
    <row r="984" spans="1:1" ht="14.25" customHeight="1" x14ac:dyDescent="0.2">
      <c r="A984" s="14"/>
    </row>
    <row r="985" spans="1:1" ht="14.25" customHeight="1" x14ac:dyDescent="0.2">
      <c r="A985" s="14"/>
    </row>
    <row r="986" spans="1:1" ht="14.25" customHeight="1" x14ac:dyDescent="0.2">
      <c r="A986" s="14"/>
    </row>
    <row r="987" spans="1:1" ht="14.25" customHeight="1" x14ac:dyDescent="0.2">
      <c r="A987" s="14"/>
    </row>
    <row r="988" spans="1:1" ht="14.25" customHeight="1" x14ac:dyDescent="0.2">
      <c r="A988" s="14"/>
    </row>
    <row r="989" spans="1:1" ht="14.25" customHeight="1" x14ac:dyDescent="0.2">
      <c r="A989" s="14"/>
    </row>
    <row r="990" spans="1:1" ht="14.25" customHeight="1" x14ac:dyDescent="0.2">
      <c r="A990" s="14"/>
    </row>
    <row r="991" spans="1:1" ht="14.25" customHeight="1" x14ac:dyDescent="0.2">
      <c r="A991" s="14"/>
    </row>
    <row r="992" spans="1:1" ht="14.25" customHeight="1" x14ac:dyDescent="0.2">
      <c r="A992" s="14"/>
    </row>
    <row r="993" spans="1:1" ht="14.25" customHeight="1" x14ac:dyDescent="0.2">
      <c r="A993" s="14"/>
    </row>
    <row r="994" spans="1:1" ht="14.25" customHeight="1" x14ac:dyDescent="0.2">
      <c r="A994" s="14"/>
    </row>
    <row r="995" spans="1:1" ht="14.25" customHeight="1" x14ac:dyDescent="0.2">
      <c r="A995" s="14"/>
    </row>
    <row r="996" spans="1:1" ht="14.25" customHeight="1" x14ac:dyDescent="0.2">
      <c r="A996" s="14"/>
    </row>
    <row r="997" spans="1:1" ht="14.25" customHeight="1" x14ac:dyDescent="0.2">
      <c r="A997" s="14"/>
    </row>
    <row r="998" spans="1:1" ht="14.25" customHeight="1" x14ac:dyDescent="0.2">
      <c r="A998" s="14"/>
    </row>
    <row r="999" spans="1:1" ht="14.25" customHeight="1" x14ac:dyDescent="0.2">
      <c r="A999" s="14"/>
    </row>
    <row r="1000" spans="1:1" ht="14.25" customHeight="1" x14ac:dyDescent="0.2">
      <c r="A1000" s="14"/>
    </row>
  </sheetData>
  <mergeCells count="33"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8:D8"/>
    <mergeCell ref="A9:D11"/>
    <mergeCell ref="A12:D12"/>
    <mergeCell ref="B14:F14"/>
    <mergeCell ref="B15:F15"/>
    <mergeCell ref="B16:F16"/>
    <mergeCell ref="B18:F18"/>
    <mergeCell ref="B20:F20"/>
    <mergeCell ref="B21:F21"/>
    <mergeCell ref="B22:F22"/>
    <mergeCell ref="B23:F23"/>
    <mergeCell ref="B24:F24"/>
    <mergeCell ref="B25:F25"/>
    <mergeCell ref="B26:F26"/>
    <mergeCell ref="G33:H33"/>
    <mergeCell ref="B35:I36"/>
    <mergeCell ref="G40:I41"/>
    <mergeCell ref="B27:F27"/>
    <mergeCell ref="B28:F28"/>
    <mergeCell ref="B29:F29"/>
    <mergeCell ref="B30:F30"/>
    <mergeCell ref="B31:F31"/>
    <mergeCell ref="G31:H31"/>
    <mergeCell ref="G32:H32"/>
  </mergeCells>
  <hyperlinks>
    <hyperlink ref="K3" r:id="rId1" xr:uid="{00000000-0004-0000-0C00-000000000000}"/>
  </hyperlinks>
  <printOptions horizontalCentered="1"/>
  <pageMargins left="0.5" right="0.5" top="0.5" bottom="0.5" header="0" footer="0"/>
  <pageSetup fitToHeight="0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3.875" customWidth="1"/>
    <col min="3" max="3" width="77.5" customWidth="1"/>
    <col min="4" max="4" width="8.625" customWidth="1"/>
    <col min="5" max="5" width="9.625" customWidth="1"/>
    <col min="6" max="6" width="34.875" customWidth="1"/>
    <col min="7" max="26" width="8.625" customWidth="1"/>
  </cols>
  <sheetData>
    <row r="1" spans="1:26" ht="14.25" customHeight="1" x14ac:dyDescent="0.2"/>
    <row r="2" spans="1:26" ht="14.25" customHeight="1" x14ac:dyDescent="0.2"/>
    <row r="3" spans="1:26" ht="14.25" customHeight="1" x14ac:dyDescent="0.2"/>
    <row r="4" spans="1:26" ht="14.25" customHeight="1" x14ac:dyDescent="0.25">
      <c r="B4" s="213" t="s">
        <v>201</v>
      </c>
      <c r="C4" s="165"/>
      <c r="D4" s="165"/>
      <c r="E4" s="165"/>
    </row>
    <row r="5" spans="1:26" ht="14.25" customHeight="1" x14ac:dyDescent="0.2"/>
    <row r="6" spans="1:26" ht="14.25" customHeight="1" x14ac:dyDescent="0.2"/>
    <row r="7" spans="1:26" ht="14.25" customHeight="1" x14ac:dyDescent="0.25">
      <c r="B7" s="102" t="s">
        <v>202</v>
      </c>
      <c r="C7" s="103" t="s">
        <v>203</v>
      </c>
      <c r="D7" s="103" t="s">
        <v>204</v>
      </c>
      <c r="E7" s="103" t="s">
        <v>205</v>
      </c>
      <c r="F7" s="104" t="s">
        <v>206</v>
      </c>
    </row>
    <row r="8" spans="1:26" ht="34.5" customHeight="1" x14ac:dyDescent="0.2">
      <c r="A8" s="105"/>
      <c r="B8" s="105"/>
      <c r="C8" s="106" t="s">
        <v>207</v>
      </c>
      <c r="D8" s="107"/>
      <c r="E8" s="107"/>
      <c r="F8" s="108"/>
      <c r="G8" s="109"/>
      <c r="H8" s="105"/>
      <c r="I8" s="105"/>
      <c r="J8" s="105">
        <f>SUM(E9:E21,E24:E28,E31,E33)</f>
        <v>7958</v>
      </c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34.5" customHeight="1" x14ac:dyDescent="0.2">
      <c r="A9" s="105"/>
      <c r="B9" s="105"/>
      <c r="C9" s="107" t="s">
        <v>24</v>
      </c>
      <c r="D9" s="107">
        <v>1</v>
      </c>
      <c r="E9" s="107">
        <v>290</v>
      </c>
      <c r="F9" s="108"/>
      <c r="G9" s="109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34.5" customHeight="1" x14ac:dyDescent="0.2">
      <c r="A10" s="105"/>
      <c r="B10" s="105"/>
      <c r="C10" s="107" t="s">
        <v>25</v>
      </c>
      <c r="D10" s="107">
        <v>1</v>
      </c>
      <c r="E10" s="107">
        <v>250</v>
      </c>
      <c r="F10" s="108"/>
      <c r="G10" s="109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34.5" customHeight="1" x14ac:dyDescent="0.2">
      <c r="A11" s="105"/>
      <c r="B11" s="105"/>
      <c r="C11" s="107" t="s">
        <v>27</v>
      </c>
      <c r="D11" s="107">
        <v>5</v>
      </c>
      <c r="E11" s="107">
        <v>400</v>
      </c>
      <c r="F11" s="108"/>
      <c r="G11" s="109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34.5" customHeight="1" x14ac:dyDescent="0.2">
      <c r="A12" s="105"/>
      <c r="B12" s="105"/>
      <c r="C12" s="106" t="s">
        <v>208</v>
      </c>
      <c r="D12" s="107"/>
      <c r="E12" s="107"/>
      <c r="F12" s="108"/>
      <c r="G12" s="109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34.5" customHeight="1" x14ac:dyDescent="0.2">
      <c r="A13" s="105"/>
      <c r="B13" s="105"/>
      <c r="C13" s="107" t="s">
        <v>29</v>
      </c>
      <c r="D13" s="107">
        <v>1</v>
      </c>
      <c r="E13" s="107">
        <v>100</v>
      </c>
      <c r="F13" s="108"/>
      <c r="G13" s="109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34.5" customHeight="1" x14ac:dyDescent="0.2">
      <c r="A14" s="105"/>
      <c r="B14" s="105"/>
      <c r="C14" s="107">
        <v>0</v>
      </c>
      <c r="D14" s="107">
        <v>1</v>
      </c>
      <c r="E14" s="107">
        <v>325</v>
      </c>
      <c r="F14" s="108"/>
      <c r="G14" s="109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34.5" customHeight="1" x14ac:dyDescent="0.2">
      <c r="A15" s="105"/>
      <c r="B15" s="105"/>
      <c r="C15" s="110" t="s">
        <v>31</v>
      </c>
      <c r="D15" s="107">
        <v>1</v>
      </c>
      <c r="E15" s="107">
        <v>240</v>
      </c>
      <c r="F15" s="108"/>
      <c r="G15" s="109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34.5" customHeight="1" x14ac:dyDescent="0.2">
      <c r="A16" s="105"/>
      <c r="B16" s="105"/>
      <c r="C16" s="110" t="s">
        <v>32</v>
      </c>
      <c r="D16" s="107">
        <v>1</v>
      </c>
      <c r="E16" s="107">
        <v>455</v>
      </c>
      <c r="F16" s="108"/>
      <c r="G16" s="109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34.5" customHeight="1" x14ac:dyDescent="0.2">
      <c r="A17" s="105"/>
      <c r="B17" s="105"/>
      <c r="C17" s="110" t="s">
        <v>33</v>
      </c>
      <c r="D17" s="107">
        <v>1</v>
      </c>
      <c r="E17" s="107">
        <v>295</v>
      </c>
      <c r="F17" s="108"/>
      <c r="G17" s="109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34.5" customHeight="1" x14ac:dyDescent="0.2">
      <c r="A18" s="105"/>
      <c r="B18" s="105"/>
      <c r="C18" s="110" t="s">
        <v>34</v>
      </c>
      <c r="D18" s="107">
        <v>1</v>
      </c>
      <c r="E18" s="107">
        <v>459</v>
      </c>
      <c r="F18" s="108"/>
      <c r="G18" s="109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34.5" customHeight="1" x14ac:dyDescent="0.2">
      <c r="A19" s="105"/>
      <c r="B19" s="105"/>
      <c r="C19" s="107" t="s">
        <v>35</v>
      </c>
      <c r="D19" s="107">
        <v>1</v>
      </c>
      <c r="E19" s="107">
        <v>130</v>
      </c>
      <c r="F19" s="108"/>
      <c r="G19" s="109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34.5" customHeight="1" x14ac:dyDescent="0.2">
      <c r="A20" s="105"/>
      <c r="B20" s="105"/>
      <c r="C20" s="107" t="s">
        <v>36</v>
      </c>
      <c r="D20" s="107">
        <v>1</v>
      </c>
      <c r="E20" s="107">
        <v>60</v>
      </c>
      <c r="F20" s="108"/>
      <c r="G20" s="109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34.5" customHeight="1" x14ac:dyDescent="0.2">
      <c r="A21" s="105"/>
      <c r="B21" s="105"/>
      <c r="C21" s="110" t="s">
        <v>37</v>
      </c>
      <c r="D21" s="107">
        <v>1</v>
      </c>
      <c r="E21" s="107">
        <v>189</v>
      </c>
      <c r="F21" s="108"/>
      <c r="G21" s="109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34.5" customHeight="1" x14ac:dyDescent="0.2">
      <c r="A22" s="105"/>
      <c r="B22" s="105"/>
      <c r="C22" s="106" t="s">
        <v>38</v>
      </c>
      <c r="D22" s="107"/>
      <c r="E22" s="107"/>
      <c r="F22" s="108"/>
      <c r="G22" s="109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34.5" customHeight="1" x14ac:dyDescent="0.2">
      <c r="A23" s="105"/>
      <c r="B23" s="105"/>
      <c r="C23" s="107" t="s">
        <v>76</v>
      </c>
      <c r="D23" s="107">
        <v>3</v>
      </c>
      <c r="E23" s="107">
        <v>7650</v>
      </c>
      <c r="F23" s="108"/>
      <c r="G23" s="109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34.5" customHeight="1" x14ac:dyDescent="0.2">
      <c r="A24" s="105"/>
      <c r="B24" s="105"/>
      <c r="C24" s="107" t="s">
        <v>41</v>
      </c>
      <c r="D24" s="107">
        <v>1</v>
      </c>
      <c r="E24" s="107">
        <v>240</v>
      </c>
      <c r="F24" s="108"/>
      <c r="G24" s="109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34.5" customHeight="1" x14ac:dyDescent="0.2">
      <c r="A25" s="105"/>
      <c r="B25" s="105"/>
      <c r="C25" s="110" t="s">
        <v>42</v>
      </c>
      <c r="D25" s="107">
        <v>3</v>
      </c>
      <c r="E25" s="107">
        <v>600</v>
      </c>
      <c r="F25" s="108"/>
      <c r="G25" s="109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34.5" customHeight="1" x14ac:dyDescent="0.2">
      <c r="A26" s="105"/>
      <c r="B26" s="105"/>
      <c r="C26" s="110" t="s">
        <v>43</v>
      </c>
      <c r="D26" s="107">
        <v>8</v>
      </c>
      <c r="E26" s="107">
        <v>280</v>
      </c>
      <c r="F26" s="108"/>
      <c r="G26" s="109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34.5" customHeight="1" x14ac:dyDescent="0.2">
      <c r="A27" s="105"/>
      <c r="B27" s="105"/>
      <c r="C27" s="110" t="s">
        <v>45</v>
      </c>
      <c r="D27" s="107">
        <v>1</v>
      </c>
      <c r="E27" s="107">
        <v>2995</v>
      </c>
      <c r="F27" s="108"/>
      <c r="G27" s="109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34.5" customHeight="1" x14ac:dyDescent="0.2">
      <c r="A28" s="105"/>
      <c r="B28" s="105"/>
      <c r="C28" s="110" t="s">
        <v>46</v>
      </c>
      <c r="D28" s="107">
        <v>1</v>
      </c>
      <c r="E28" s="107">
        <v>500</v>
      </c>
      <c r="F28" s="108"/>
      <c r="G28" s="109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34.5" customHeight="1" x14ac:dyDescent="0.2">
      <c r="A29" s="105"/>
      <c r="B29" s="105"/>
      <c r="C29" s="106" t="s">
        <v>209</v>
      </c>
      <c r="D29" s="107"/>
      <c r="E29" s="107"/>
      <c r="F29" s="108"/>
      <c r="G29" s="109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34.5" customHeight="1" x14ac:dyDescent="0.2">
      <c r="A30" s="105"/>
      <c r="B30" s="105"/>
      <c r="C30" s="106" t="s">
        <v>210</v>
      </c>
      <c r="D30" s="107"/>
      <c r="E30" s="107"/>
      <c r="F30" s="108"/>
      <c r="G30" s="109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34.5" customHeight="1" x14ac:dyDescent="0.2">
      <c r="A31" s="105"/>
      <c r="B31" s="105"/>
      <c r="C31" s="107" t="s">
        <v>49</v>
      </c>
      <c r="D31" s="107">
        <v>1</v>
      </c>
      <c r="E31" s="107">
        <v>100</v>
      </c>
      <c r="F31" s="108"/>
      <c r="G31" s="109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34.5" customHeight="1" x14ac:dyDescent="0.2">
      <c r="A32" s="105"/>
      <c r="B32" s="105"/>
      <c r="C32" s="107" t="s">
        <v>40</v>
      </c>
      <c r="D32" s="107">
        <v>3</v>
      </c>
      <c r="E32" s="107">
        <v>11700</v>
      </c>
      <c r="F32" s="108"/>
      <c r="G32" s="109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36" customHeight="1" x14ac:dyDescent="0.2">
      <c r="A33" s="105"/>
      <c r="B33" s="105"/>
      <c r="C33" s="106" t="s">
        <v>211</v>
      </c>
      <c r="D33" s="107">
        <v>2</v>
      </c>
      <c r="E33" s="107">
        <v>50</v>
      </c>
      <c r="F33" s="108"/>
      <c r="G33" s="109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18.5" customHeight="1" x14ac:dyDescent="0.2">
      <c r="A34" s="105"/>
      <c r="B34" s="105"/>
      <c r="C34" s="110" t="s">
        <v>52</v>
      </c>
      <c r="D34" s="107">
        <v>1</v>
      </c>
      <c r="E34" s="107">
        <v>4600</v>
      </c>
      <c r="F34" s="108"/>
      <c r="G34" s="109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34.5" customHeight="1" x14ac:dyDescent="0.2">
      <c r="A35" s="105"/>
      <c r="B35" s="105"/>
      <c r="C35" s="106" t="s">
        <v>53</v>
      </c>
      <c r="D35" s="107"/>
      <c r="E35" s="107"/>
      <c r="F35" s="108"/>
      <c r="G35" s="109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34.5" customHeight="1" x14ac:dyDescent="0.2">
      <c r="A36" s="105"/>
      <c r="B36" s="105"/>
      <c r="C36" s="106" t="s">
        <v>58</v>
      </c>
      <c r="D36" s="107"/>
      <c r="E36" s="107"/>
      <c r="F36" s="108"/>
      <c r="G36" s="109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34.5" customHeight="1" x14ac:dyDescent="0.2">
      <c r="A37" s="105"/>
      <c r="B37" s="105"/>
      <c r="C37" s="106" t="s">
        <v>212</v>
      </c>
      <c r="D37" s="107"/>
      <c r="E37" s="107"/>
      <c r="F37" s="108"/>
      <c r="G37" s="109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62.25" customHeight="1" x14ac:dyDescent="0.2">
      <c r="C38" s="111"/>
      <c r="D38" s="112"/>
      <c r="E38" s="113">
        <f>SUM(E9:E37)</f>
        <v>31908</v>
      </c>
      <c r="F38" s="114"/>
    </row>
    <row r="39" spans="1:26" ht="14.25" customHeight="1" x14ac:dyDescent="0.2">
      <c r="C39" s="111"/>
      <c r="D39" s="112"/>
      <c r="E39" s="112"/>
      <c r="F39" s="114"/>
    </row>
    <row r="40" spans="1:26" ht="14.25" customHeight="1" x14ac:dyDescent="0.2">
      <c r="C40" s="111"/>
      <c r="D40" s="112"/>
      <c r="E40" s="112"/>
      <c r="F40" s="114"/>
    </row>
    <row r="41" spans="1:26" ht="14.25" customHeight="1" x14ac:dyDescent="0.2">
      <c r="C41" s="111"/>
      <c r="D41" s="112"/>
      <c r="E41" s="112"/>
      <c r="F41" s="114"/>
    </row>
    <row r="42" spans="1:26" ht="14.25" customHeight="1" x14ac:dyDescent="0.2">
      <c r="C42" s="111"/>
      <c r="D42" s="112"/>
      <c r="E42" s="112"/>
      <c r="F42" s="114"/>
    </row>
    <row r="43" spans="1:26" ht="14.25" customHeight="1" x14ac:dyDescent="0.2">
      <c r="C43" s="111"/>
      <c r="D43" s="112"/>
      <c r="E43" s="112"/>
      <c r="F43" s="114"/>
    </row>
    <row r="44" spans="1:26" ht="14.25" customHeight="1" x14ac:dyDescent="0.2">
      <c r="C44" s="111"/>
      <c r="D44" s="112"/>
      <c r="E44" s="112"/>
      <c r="F44" s="114"/>
    </row>
    <row r="45" spans="1:26" ht="14.25" customHeight="1" x14ac:dyDescent="0.2">
      <c r="C45" s="111"/>
      <c r="D45" s="112"/>
      <c r="E45" s="112"/>
      <c r="F45" s="114"/>
    </row>
    <row r="46" spans="1:26" ht="14.25" customHeight="1" x14ac:dyDescent="0.2">
      <c r="C46" s="111"/>
      <c r="D46" s="112"/>
      <c r="E46" s="112"/>
      <c r="F46" s="114"/>
    </row>
    <row r="47" spans="1:26" ht="14.25" customHeight="1" x14ac:dyDescent="0.2">
      <c r="C47" s="111"/>
      <c r="D47" s="112"/>
      <c r="E47" s="112"/>
      <c r="F47" s="114"/>
    </row>
    <row r="48" spans="1:26" ht="14.25" customHeight="1" x14ac:dyDescent="0.2">
      <c r="C48" s="111"/>
      <c r="D48" s="112"/>
      <c r="E48" s="112"/>
      <c r="F48" s="114"/>
    </row>
    <row r="49" spans="3:6" ht="14.25" customHeight="1" x14ac:dyDescent="0.2">
      <c r="C49" s="111"/>
      <c r="D49" s="112"/>
      <c r="E49" s="112"/>
      <c r="F49" s="114"/>
    </row>
    <row r="50" spans="3:6" ht="14.25" customHeight="1" x14ac:dyDescent="0.2">
      <c r="C50" s="111"/>
      <c r="D50" s="112"/>
      <c r="E50" s="112"/>
    </row>
    <row r="51" spans="3:6" ht="14.25" customHeight="1" x14ac:dyDescent="0.2">
      <c r="D51" s="112"/>
      <c r="E51" s="112"/>
    </row>
    <row r="52" spans="3:6" ht="14.25" customHeight="1" x14ac:dyDescent="0.2">
      <c r="C52" s="111"/>
      <c r="D52" s="112"/>
      <c r="E52" s="112"/>
    </row>
    <row r="53" spans="3:6" ht="14.25" customHeight="1" x14ac:dyDescent="0.2">
      <c r="C53" s="111"/>
      <c r="D53" s="112"/>
      <c r="E53" s="112"/>
    </row>
    <row r="54" spans="3:6" ht="14.25" customHeight="1" x14ac:dyDescent="0.2">
      <c r="C54" s="111"/>
      <c r="D54" s="112"/>
      <c r="E54" s="112"/>
    </row>
    <row r="55" spans="3:6" ht="14.25" customHeight="1" x14ac:dyDescent="0.2">
      <c r="D55" s="112"/>
      <c r="E55" s="112"/>
    </row>
    <row r="56" spans="3:6" ht="14.25" customHeight="1" x14ac:dyDescent="0.2">
      <c r="E56" s="46">
        <f>SUM(E8:E54)</f>
        <v>63816</v>
      </c>
    </row>
    <row r="57" spans="3:6" ht="14.25" customHeight="1" x14ac:dyDescent="0.2"/>
    <row r="58" spans="3:6" ht="14.25" customHeight="1" x14ac:dyDescent="0.2"/>
    <row r="59" spans="3:6" ht="14.25" customHeight="1" x14ac:dyDescent="0.2"/>
    <row r="60" spans="3:6" ht="14.25" customHeight="1" x14ac:dyDescent="0.2"/>
    <row r="61" spans="3:6" ht="14.25" customHeight="1" x14ac:dyDescent="0.2"/>
    <row r="62" spans="3:6" ht="14.25" customHeight="1" x14ac:dyDescent="0.2"/>
    <row r="63" spans="3:6" ht="14.25" customHeight="1" x14ac:dyDescent="0.2"/>
    <row r="64" spans="3:6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4:E4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0"/>
  <sheetViews>
    <sheetView workbookViewId="0"/>
  </sheetViews>
  <sheetFormatPr defaultColWidth="12.625" defaultRowHeight="15" customHeight="1" x14ac:dyDescent="0.2"/>
  <cols>
    <col min="1" max="1" width="4.5" customWidth="1"/>
    <col min="2" max="2" width="21.875" customWidth="1"/>
    <col min="3" max="26" width="8.625" customWidth="1"/>
  </cols>
  <sheetData>
    <row r="1" spans="1:3" ht="14.25" customHeight="1" x14ac:dyDescent="0.2">
      <c r="A1" s="61" t="s">
        <v>213</v>
      </c>
    </row>
    <row r="2" spans="1:3" ht="14.25" customHeight="1" x14ac:dyDescent="0.2"/>
    <row r="3" spans="1:3" ht="14.25" customHeight="1" x14ac:dyDescent="0.2"/>
    <row r="4" spans="1:3" ht="14.25" customHeight="1" x14ac:dyDescent="0.2"/>
    <row r="5" spans="1:3" ht="14.25" customHeight="1" x14ac:dyDescent="0.2"/>
    <row r="6" spans="1:3" ht="14.25" customHeight="1" x14ac:dyDescent="0.2">
      <c r="A6" s="46" t="s">
        <v>16</v>
      </c>
      <c r="B6" s="46" t="s">
        <v>214</v>
      </c>
      <c r="C6" s="46" t="s">
        <v>215</v>
      </c>
    </row>
    <row r="7" spans="1:3" ht="14.25" customHeight="1" x14ac:dyDescent="0.2">
      <c r="A7" s="46">
        <v>1</v>
      </c>
      <c r="B7" s="46" t="s">
        <v>216</v>
      </c>
      <c r="C7" s="46">
        <v>1000</v>
      </c>
    </row>
    <row r="8" spans="1:3" ht="14.25" customHeight="1" x14ac:dyDescent="0.2">
      <c r="A8" s="46">
        <v>2</v>
      </c>
      <c r="B8" s="46" t="s">
        <v>217</v>
      </c>
      <c r="C8" s="46">
        <v>785</v>
      </c>
    </row>
    <row r="9" spans="1:3" ht="14.25" customHeight="1" x14ac:dyDescent="0.2">
      <c r="A9" s="46">
        <v>3</v>
      </c>
      <c r="B9" s="46" t="s">
        <v>218</v>
      </c>
      <c r="C9" s="46">
        <v>500</v>
      </c>
    </row>
    <row r="10" spans="1:3" ht="14.25" customHeight="1" x14ac:dyDescent="0.2">
      <c r="A10" s="46">
        <v>4</v>
      </c>
      <c r="B10" s="46" t="s">
        <v>219</v>
      </c>
      <c r="C10" s="46">
        <v>250</v>
      </c>
    </row>
    <row r="11" spans="1:3" ht="14.25" customHeight="1" x14ac:dyDescent="0.2">
      <c r="A11" s="46">
        <v>5</v>
      </c>
      <c r="B11" s="46" t="s">
        <v>220</v>
      </c>
      <c r="C11" s="46">
        <v>500</v>
      </c>
    </row>
    <row r="12" spans="1:3" ht="14.25" customHeight="1" x14ac:dyDescent="0.2">
      <c r="A12" s="46">
        <v>6</v>
      </c>
      <c r="B12" s="46" t="s">
        <v>221</v>
      </c>
      <c r="C12" s="46">
        <v>160</v>
      </c>
    </row>
    <row r="13" spans="1:3" ht="14.25" customHeight="1" x14ac:dyDescent="0.2">
      <c r="A13" s="46">
        <v>7</v>
      </c>
      <c r="B13" s="46" t="s">
        <v>222</v>
      </c>
      <c r="C13" s="46">
        <v>430</v>
      </c>
    </row>
    <row r="14" spans="1:3" ht="14.25" customHeight="1" x14ac:dyDescent="0.2">
      <c r="A14" s="46">
        <v>8</v>
      </c>
      <c r="B14" s="46" t="s">
        <v>223</v>
      </c>
      <c r="C14" s="46">
        <v>200</v>
      </c>
    </row>
    <row r="15" spans="1:3" ht="14.25" customHeight="1" x14ac:dyDescent="0.2">
      <c r="A15" s="46">
        <v>9</v>
      </c>
      <c r="B15" s="46" t="s">
        <v>224</v>
      </c>
      <c r="C15" s="46">
        <v>80</v>
      </c>
    </row>
    <row r="16" spans="1:3" ht="14.25" customHeight="1" x14ac:dyDescent="0.2">
      <c r="A16" s="46">
        <v>10</v>
      </c>
      <c r="B16" s="46" t="s">
        <v>225</v>
      </c>
      <c r="C16" s="46">
        <v>205</v>
      </c>
    </row>
    <row r="17" spans="1:7" ht="14.25" customHeight="1" x14ac:dyDescent="0.2">
      <c r="A17" s="46">
        <v>11</v>
      </c>
      <c r="B17" s="46" t="s">
        <v>226</v>
      </c>
      <c r="C17" s="46">
        <v>340</v>
      </c>
    </row>
    <row r="18" spans="1:7" ht="14.25" customHeight="1" x14ac:dyDescent="0.2">
      <c r="E18" s="46">
        <v>12</v>
      </c>
      <c r="F18" s="46" t="s">
        <v>227</v>
      </c>
      <c r="G18" s="46">
        <v>580</v>
      </c>
    </row>
    <row r="19" spans="1:7" ht="14.25" customHeight="1" x14ac:dyDescent="0.2">
      <c r="E19" s="46">
        <v>13</v>
      </c>
      <c r="F19" s="46" t="s">
        <v>228</v>
      </c>
      <c r="G19" s="46">
        <v>120</v>
      </c>
    </row>
    <row r="20" spans="1:7" ht="14.25" customHeight="1" x14ac:dyDescent="0.2">
      <c r="C20" s="46">
        <f>SUM(C7:C19)</f>
        <v>4450</v>
      </c>
    </row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/>
    <row r="26" spans="1:7" ht="14.25" customHeight="1" x14ac:dyDescent="0.2"/>
    <row r="27" spans="1:7" ht="14.25" customHeight="1" x14ac:dyDescent="0.2"/>
    <row r="28" spans="1:7" ht="14.25" customHeight="1" x14ac:dyDescent="0.2"/>
    <row r="29" spans="1:7" ht="14.25" customHeight="1" x14ac:dyDescent="0.2"/>
    <row r="30" spans="1:7" ht="14.25" customHeight="1" x14ac:dyDescent="0.2"/>
    <row r="31" spans="1:7" ht="14.25" customHeight="1" x14ac:dyDescent="0.2"/>
    <row r="32" spans="1: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14.25" customHeight="1" x14ac:dyDescent="0.2">
      <c r="A1" s="2" t="s">
        <v>0</v>
      </c>
      <c r="B1" s="2"/>
      <c r="C1" s="2"/>
      <c r="D1" s="2"/>
      <c r="E1" s="2"/>
      <c r="F1" s="3"/>
      <c r="H1" s="4"/>
      <c r="I1" s="5" t="s">
        <v>1</v>
      </c>
    </row>
    <row r="2" spans="1:11" ht="14.25" customHeight="1" x14ac:dyDescent="0.2">
      <c r="A2" s="176" t="s">
        <v>2</v>
      </c>
      <c r="B2" s="165"/>
      <c r="C2" s="165"/>
      <c r="D2" s="165"/>
      <c r="E2" s="165"/>
      <c r="F2" s="6"/>
      <c r="G2" s="6"/>
      <c r="H2" s="7"/>
      <c r="I2" s="7"/>
      <c r="K2" s="8" t="s">
        <v>3</v>
      </c>
    </row>
    <row r="3" spans="1:11" ht="14.25" customHeight="1" x14ac:dyDescent="0.2">
      <c r="A3" s="176" t="s">
        <v>4</v>
      </c>
      <c r="B3" s="165"/>
      <c r="C3" s="165"/>
      <c r="D3" s="165"/>
      <c r="E3" s="6"/>
      <c r="F3" s="6"/>
      <c r="K3" s="9" t="s">
        <v>5</v>
      </c>
    </row>
    <row r="4" spans="1:11" ht="14.25" customHeight="1" x14ac:dyDescent="0.2">
      <c r="A4" s="176" t="s">
        <v>6</v>
      </c>
      <c r="B4" s="165"/>
      <c r="C4" s="165"/>
      <c r="D4" s="165"/>
      <c r="E4" s="6"/>
      <c r="F4" s="6"/>
      <c r="G4" s="186" t="s">
        <v>7</v>
      </c>
      <c r="H4" s="169"/>
      <c r="I4" s="10" t="s">
        <v>8</v>
      </c>
      <c r="K4" s="8"/>
    </row>
    <row r="5" spans="1:11" ht="14.25" customHeight="1" x14ac:dyDescent="0.2">
      <c r="A5" s="176" t="s">
        <v>9</v>
      </c>
      <c r="B5" s="165"/>
      <c r="C5" s="165"/>
      <c r="D5" s="165"/>
      <c r="E5" s="6"/>
      <c r="F5" s="6"/>
      <c r="G5" s="187">
        <v>2135</v>
      </c>
      <c r="H5" s="182"/>
      <c r="I5" s="11">
        <v>45085</v>
      </c>
      <c r="K5" s="12" t="s">
        <v>10</v>
      </c>
    </row>
    <row r="6" spans="1:11" ht="14.25" customHeight="1" x14ac:dyDescent="0.2">
      <c r="A6" s="176" t="s">
        <v>11</v>
      </c>
      <c r="B6" s="165"/>
      <c r="C6" s="165"/>
      <c r="D6" s="165"/>
      <c r="E6" s="6"/>
      <c r="F6" s="6"/>
      <c r="G6" s="183"/>
      <c r="H6" s="184"/>
      <c r="I6" s="13"/>
      <c r="K6" s="12"/>
    </row>
    <row r="7" spans="1:11" ht="14.25" customHeight="1" x14ac:dyDescent="0.2">
      <c r="A7" s="61"/>
      <c r="B7" s="6"/>
      <c r="C7" s="6"/>
      <c r="D7" s="6"/>
      <c r="E7" s="6"/>
      <c r="F7" s="6"/>
      <c r="G7" s="185"/>
      <c r="H7" s="165"/>
      <c r="I7" s="16"/>
      <c r="K7" s="8"/>
    </row>
    <row r="8" spans="1:11" ht="18" customHeight="1" x14ac:dyDescent="0.2">
      <c r="A8" s="61"/>
      <c r="B8" s="6"/>
      <c r="C8" s="6"/>
      <c r="D8" s="6"/>
      <c r="E8" s="6"/>
      <c r="F8" s="6"/>
      <c r="G8" s="15"/>
      <c r="H8" s="15"/>
      <c r="I8" s="16"/>
      <c r="K8" s="8"/>
    </row>
    <row r="9" spans="1:11" ht="19.5" customHeight="1" x14ac:dyDescent="0.2">
      <c r="A9" s="172" t="s">
        <v>12</v>
      </c>
      <c r="B9" s="173"/>
      <c r="C9" s="173"/>
      <c r="D9" s="174"/>
      <c r="E9" s="6"/>
      <c r="H9" s="17" t="s">
        <v>13</v>
      </c>
      <c r="I9" s="18"/>
      <c r="K9" s="19"/>
    </row>
    <row r="10" spans="1:11" ht="14.25" customHeight="1" x14ac:dyDescent="0.2">
      <c r="A10" s="171" t="s">
        <v>229</v>
      </c>
      <c r="B10" s="165"/>
      <c r="C10" s="165"/>
      <c r="D10" s="165"/>
      <c r="E10" s="6"/>
      <c r="H10" s="17"/>
      <c r="I10" s="18"/>
      <c r="K10" s="19"/>
    </row>
    <row r="11" spans="1:11" ht="14.25" customHeight="1" x14ac:dyDescent="0.2">
      <c r="A11" s="165"/>
      <c r="B11" s="165"/>
      <c r="C11" s="165"/>
      <c r="D11" s="165"/>
      <c r="E11" s="6"/>
      <c r="H11" s="17"/>
      <c r="I11" s="18"/>
      <c r="K11" s="19"/>
    </row>
    <row r="12" spans="1:11" ht="14.25" customHeight="1" x14ac:dyDescent="0.2">
      <c r="A12" s="165"/>
      <c r="B12" s="165"/>
      <c r="C12" s="165"/>
      <c r="D12" s="165"/>
      <c r="E12" s="6"/>
    </row>
    <row r="13" spans="1:11" ht="10.5" customHeight="1" x14ac:dyDescent="0.2">
      <c r="A13" s="165"/>
      <c r="B13" s="165"/>
      <c r="C13" s="165"/>
      <c r="D13" s="165"/>
      <c r="E13" s="6"/>
    </row>
    <row r="14" spans="1:11" ht="14.25" customHeight="1" x14ac:dyDescent="0.2">
      <c r="A14" s="176" t="s">
        <v>230</v>
      </c>
      <c r="B14" s="165"/>
      <c r="C14" s="165"/>
      <c r="D14" s="165"/>
      <c r="E14" s="6"/>
      <c r="F14" s="6"/>
    </row>
    <row r="15" spans="1:11" ht="14.25" customHeight="1" x14ac:dyDescent="0.2">
      <c r="A15" s="61"/>
      <c r="B15" s="6"/>
      <c r="C15" s="6"/>
      <c r="D15" s="6"/>
      <c r="E15" s="6"/>
      <c r="F15" s="6"/>
      <c r="G15" s="6"/>
      <c r="H15" s="6"/>
      <c r="I15" s="6"/>
      <c r="K15" s="19"/>
    </row>
    <row r="16" spans="1:11" ht="19.5" customHeight="1" x14ac:dyDescent="0.2">
      <c r="A16" s="62" t="s">
        <v>16</v>
      </c>
      <c r="B16" s="203" t="s">
        <v>17</v>
      </c>
      <c r="C16" s="178"/>
      <c r="D16" s="178"/>
      <c r="E16" s="178"/>
      <c r="F16" s="179"/>
      <c r="G16" s="10" t="s">
        <v>18</v>
      </c>
      <c r="H16" s="10" t="s">
        <v>19</v>
      </c>
      <c r="I16" s="10" t="s">
        <v>20</v>
      </c>
      <c r="K16" s="19"/>
    </row>
    <row r="17" spans="1:11" ht="11.25" customHeight="1" x14ac:dyDescent="0.2">
      <c r="A17" s="61"/>
      <c r="B17" s="204"/>
      <c r="C17" s="181"/>
      <c r="D17" s="181"/>
      <c r="E17" s="181"/>
      <c r="F17" s="182"/>
      <c r="G17" s="23"/>
      <c r="H17" s="24"/>
      <c r="I17" s="24"/>
      <c r="K17" s="12"/>
    </row>
    <row r="18" spans="1:11" ht="28.5" customHeight="1" x14ac:dyDescent="0.2">
      <c r="A18" s="61"/>
      <c r="B18" s="218" t="s">
        <v>231</v>
      </c>
      <c r="C18" s="165"/>
      <c r="D18" s="165"/>
      <c r="E18" s="165"/>
      <c r="F18" s="189"/>
      <c r="G18" s="26"/>
      <c r="H18" s="24"/>
      <c r="I18" s="24"/>
      <c r="J18" s="27"/>
      <c r="K18" s="12"/>
    </row>
    <row r="19" spans="1:11" ht="14.25" customHeight="1" x14ac:dyDescent="0.2">
      <c r="A19" s="14">
        <v>1</v>
      </c>
      <c r="B19" s="219" t="s">
        <v>232</v>
      </c>
      <c r="C19" s="165"/>
      <c r="D19" s="165"/>
      <c r="E19" s="165"/>
      <c r="F19" s="189"/>
      <c r="G19" s="32">
        <v>2</v>
      </c>
      <c r="H19" s="33">
        <v>499</v>
      </c>
      <c r="I19" s="33">
        <v>998</v>
      </c>
      <c r="J19" s="27">
        <v>510</v>
      </c>
      <c r="K19" s="12"/>
    </row>
    <row r="20" spans="1:11" ht="38.25" customHeight="1" x14ac:dyDescent="0.2">
      <c r="A20" s="14">
        <v>2</v>
      </c>
      <c r="B20" s="196" t="s">
        <v>233</v>
      </c>
      <c r="C20" s="165"/>
      <c r="D20" s="165"/>
      <c r="E20" s="165"/>
      <c r="F20" s="189"/>
      <c r="G20" s="32">
        <v>2</v>
      </c>
      <c r="H20" s="33">
        <v>290</v>
      </c>
      <c r="I20" s="33">
        <v>580</v>
      </c>
      <c r="J20" s="116">
        <v>300</v>
      </c>
      <c r="K20" s="12"/>
    </row>
    <row r="21" spans="1:11" ht="14.25" customHeight="1" x14ac:dyDescent="0.2">
      <c r="A21" s="216">
        <v>3</v>
      </c>
      <c r="B21" s="196" t="s">
        <v>234</v>
      </c>
      <c r="C21" s="165"/>
      <c r="D21" s="165"/>
      <c r="E21" s="165"/>
      <c r="F21" s="189"/>
      <c r="G21" s="217">
        <v>2</v>
      </c>
      <c r="H21" s="215">
        <v>190</v>
      </c>
      <c r="I21" s="215">
        <v>380</v>
      </c>
      <c r="J21" s="27">
        <v>200</v>
      </c>
      <c r="K21" s="19"/>
    </row>
    <row r="22" spans="1:11" ht="14.25" customHeight="1" x14ac:dyDescent="0.2">
      <c r="A22" s="189"/>
      <c r="B22" s="214"/>
      <c r="C22" s="165"/>
      <c r="D22" s="165"/>
      <c r="E22" s="165"/>
      <c r="F22" s="189"/>
      <c r="G22" s="194"/>
      <c r="H22" s="194"/>
      <c r="I22" s="194"/>
      <c r="J22" s="27"/>
      <c r="K22" s="12"/>
    </row>
    <row r="23" spans="1:11" ht="14.25" customHeight="1" x14ac:dyDescent="0.2">
      <c r="A23" s="14">
        <v>4</v>
      </c>
      <c r="B23" s="196" t="s">
        <v>43</v>
      </c>
      <c r="C23" s="165"/>
      <c r="D23" s="165"/>
      <c r="E23" s="165"/>
      <c r="F23" s="189"/>
      <c r="G23" s="217">
        <v>2</v>
      </c>
      <c r="H23" s="215">
        <v>70</v>
      </c>
      <c r="I23" s="215">
        <v>140</v>
      </c>
      <c r="J23" s="27">
        <v>100</v>
      </c>
      <c r="K23" s="19"/>
    </row>
    <row r="24" spans="1:11" ht="14.25" customHeight="1" x14ac:dyDescent="0.2">
      <c r="A24" s="14"/>
      <c r="B24" s="214"/>
      <c r="C24" s="165"/>
      <c r="D24" s="165"/>
      <c r="E24" s="165"/>
      <c r="F24" s="189"/>
      <c r="G24" s="194"/>
      <c r="H24" s="194"/>
      <c r="I24" s="194"/>
      <c r="J24" s="27"/>
      <c r="K24" s="19"/>
    </row>
    <row r="25" spans="1:11" ht="14.25" customHeight="1" x14ac:dyDescent="0.2">
      <c r="A25" s="14">
        <v>5</v>
      </c>
      <c r="B25" s="196" t="s">
        <v>235</v>
      </c>
      <c r="C25" s="165"/>
      <c r="D25" s="165"/>
      <c r="E25" s="165"/>
      <c r="F25" s="189"/>
      <c r="G25" s="32">
        <v>2</v>
      </c>
      <c r="H25" s="33">
        <v>25</v>
      </c>
      <c r="I25" s="33">
        <v>50</v>
      </c>
      <c r="J25" s="27">
        <v>20</v>
      </c>
      <c r="K25" s="19"/>
    </row>
    <row r="26" spans="1:11" ht="14.25" customHeight="1" x14ac:dyDescent="0.2">
      <c r="A26" s="14">
        <v>6</v>
      </c>
      <c r="B26" s="196" t="s">
        <v>236</v>
      </c>
      <c r="C26" s="165"/>
      <c r="D26" s="165"/>
      <c r="E26" s="165"/>
      <c r="F26" s="189"/>
      <c r="G26" s="26">
        <v>2</v>
      </c>
      <c r="H26" s="24">
        <v>60</v>
      </c>
      <c r="I26" s="24">
        <v>120</v>
      </c>
      <c r="J26" s="27">
        <v>40</v>
      </c>
      <c r="K26" s="19"/>
    </row>
    <row r="27" spans="1:11" ht="14.25" customHeight="1" x14ac:dyDescent="0.2">
      <c r="A27" s="14">
        <v>7</v>
      </c>
      <c r="B27" s="196" t="s">
        <v>237</v>
      </c>
      <c r="C27" s="165"/>
      <c r="D27" s="165"/>
      <c r="E27" s="165"/>
      <c r="F27" s="189"/>
      <c r="G27" s="26">
        <v>2</v>
      </c>
      <c r="H27" s="24">
        <v>299</v>
      </c>
      <c r="I27" s="24">
        <v>598</v>
      </c>
      <c r="J27" s="27">
        <v>200</v>
      </c>
      <c r="K27" s="19"/>
    </row>
    <row r="28" spans="1:11" ht="14.25" customHeight="1" x14ac:dyDescent="0.2">
      <c r="A28" s="14">
        <v>8</v>
      </c>
      <c r="B28" s="196" t="s">
        <v>238</v>
      </c>
      <c r="C28" s="165"/>
      <c r="D28" s="165"/>
      <c r="E28" s="165"/>
      <c r="F28" s="189"/>
      <c r="G28" s="26">
        <v>2</v>
      </c>
      <c r="H28" s="24">
        <v>50</v>
      </c>
      <c r="I28" s="24">
        <v>100</v>
      </c>
      <c r="J28" s="27">
        <v>20</v>
      </c>
      <c r="K28" s="19"/>
    </row>
    <row r="29" spans="1:11" ht="14.25" customHeight="1" x14ac:dyDescent="0.2">
      <c r="A29" s="61"/>
      <c r="B29" s="196"/>
      <c r="C29" s="165"/>
      <c r="D29" s="165"/>
      <c r="E29" s="165"/>
      <c r="F29" s="189"/>
      <c r="G29" s="26"/>
      <c r="H29" s="24"/>
      <c r="I29" s="24"/>
      <c r="J29" s="27"/>
      <c r="K29" s="19"/>
    </row>
    <row r="30" spans="1:11" ht="14.25" customHeight="1" x14ac:dyDescent="0.2">
      <c r="A30" s="71"/>
      <c r="B30" s="198" t="s">
        <v>239</v>
      </c>
      <c r="C30" s="165"/>
      <c r="D30" s="165"/>
      <c r="E30" s="165"/>
      <c r="F30" s="189"/>
      <c r="G30" s="26"/>
      <c r="H30" s="24"/>
      <c r="I30" s="24"/>
      <c r="J30" s="27"/>
      <c r="K30" s="19"/>
    </row>
    <row r="31" spans="1:11" ht="14.25" customHeight="1" x14ac:dyDescent="0.2">
      <c r="A31" s="71"/>
      <c r="B31" s="214"/>
      <c r="C31" s="165"/>
      <c r="D31" s="165"/>
      <c r="E31" s="165"/>
      <c r="F31" s="189"/>
      <c r="G31" s="26"/>
      <c r="H31" s="24"/>
      <c r="I31" s="24"/>
      <c r="J31" s="27"/>
      <c r="K31" s="19"/>
    </row>
    <row r="32" spans="1:11" ht="14.25" customHeight="1" x14ac:dyDescent="0.2">
      <c r="A32" s="71"/>
      <c r="B32" s="214"/>
      <c r="C32" s="165"/>
      <c r="D32" s="165"/>
      <c r="E32" s="165"/>
      <c r="F32" s="189"/>
      <c r="G32" s="26"/>
      <c r="H32" s="24"/>
      <c r="I32" s="24"/>
      <c r="J32" s="27"/>
      <c r="K32" s="19"/>
    </row>
    <row r="33" spans="1:11" ht="14.25" customHeight="1" x14ac:dyDescent="0.2">
      <c r="A33" s="14">
        <v>1</v>
      </c>
      <c r="B33" s="196" t="s">
        <v>240</v>
      </c>
      <c r="C33" s="165"/>
      <c r="D33" s="165"/>
      <c r="E33" s="165"/>
      <c r="F33" s="189"/>
      <c r="G33" s="32">
        <v>1</v>
      </c>
      <c r="H33" s="33">
        <v>379</v>
      </c>
      <c r="I33" s="33">
        <v>379</v>
      </c>
      <c r="J33" s="27">
        <v>285</v>
      </c>
      <c r="K33" s="19"/>
    </row>
    <row r="34" spans="1:11" ht="14.25" customHeight="1" x14ac:dyDescent="0.2">
      <c r="A34" s="14">
        <v>2</v>
      </c>
      <c r="B34" s="196" t="s">
        <v>241</v>
      </c>
      <c r="C34" s="165"/>
      <c r="D34" s="165"/>
      <c r="E34" s="165"/>
      <c r="F34" s="189"/>
      <c r="G34" s="32">
        <v>1</v>
      </c>
      <c r="H34" s="33">
        <v>499</v>
      </c>
      <c r="I34" s="33">
        <v>499</v>
      </c>
      <c r="J34" s="27">
        <v>325</v>
      </c>
      <c r="K34" s="19"/>
    </row>
    <row r="35" spans="1:11" ht="14.25" customHeight="1" x14ac:dyDescent="0.2">
      <c r="A35" s="14">
        <v>3</v>
      </c>
      <c r="B35" s="196" t="s">
        <v>242</v>
      </c>
      <c r="C35" s="165"/>
      <c r="D35" s="165"/>
      <c r="E35" s="165"/>
      <c r="F35" s="189"/>
      <c r="G35" s="32">
        <v>1</v>
      </c>
      <c r="H35" s="33">
        <v>290</v>
      </c>
      <c r="I35" s="33">
        <v>290</v>
      </c>
      <c r="J35" s="27">
        <v>150</v>
      </c>
      <c r="K35" s="19"/>
    </row>
    <row r="36" spans="1:11" ht="14.25" customHeight="1" x14ac:dyDescent="0.2">
      <c r="A36" s="14"/>
      <c r="B36" s="214"/>
      <c r="C36" s="165"/>
      <c r="D36" s="165"/>
      <c r="E36" s="165"/>
      <c r="F36" s="189"/>
      <c r="G36" s="32"/>
      <c r="H36" s="33"/>
      <c r="I36" s="33"/>
      <c r="J36" s="27"/>
      <c r="K36" s="19"/>
    </row>
    <row r="37" spans="1:11" ht="12.75" customHeight="1" x14ac:dyDescent="0.2">
      <c r="A37" s="14"/>
      <c r="B37" s="214"/>
      <c r="C37" s="165"/>
      <c r="D37" s="165"/>
      <c r="E37" s="165"/>
      <c r="F37" s="189"/>
      <c r="G37" s="32"/>
      <c r="H37" s="33"/>
      <c r="I37" s="33"/>
      <c r="J37" s="27"/>
      <c r="K37" s="19"/>
    </row>
    <row r="38" spans="1:11" ht="14.25" customHeight="1" x14ac:dyDescent="0.2">
      <c r="A38" s="14">
        <v>4</v>
      </c>
      <c r="B38" s="196" t="s">
        <v>24</v>
      </c>
      <c r="C38" s="165"/>
      <c r="D38" s="165"/>
      <c r="E38" s="165"/>
      <c r="F38" s="189"/>
      <c r="G38" s="32">
        <v>1</v>
      </c>
      <c r="H38" s="33">
        <v>480</v>
      </c>
      <c r="I38" s="33">
        <v>480</v>
      </c>
      <c r="J38" s="27">
        <v>290</v>
      </c>
      <c r="K38" s="19"/>
    </row>
    <row r="39" spans="1:11" ht="14.25" customHeight="1" x14ac:dyDescent="0.2">
      <c r="A39" s="14">
        <v>5</v>
      </c>
      <c r="B39" s="196" t="s">
        <v>243</v>
      </c>
      <c r="C39" s="165"/>
      <c r="D39" s="165"/>
      <c r="E39" s="165"/>
      <c r="F39" s="189"/>
      <c r="G39" s="32">
        <v>1</v>
      </c>
      <c r="H39" s="33">
        <v>590</v>
      </c>
      <c r="I39" s="33">
        <v>590</v>
      </c>
      <c r="J39" s="27">
        <v>390</v>
      </c>
      <c r="K39" s="19"/>
    </row>
    <row r="40" spans="1:11" ht="14.25" customHeight="1" x14ac:dyDescent="0.2">
      <c r="A40" s="14">
        <v>6</v>
      </c>
      <c r="B40" s="219" t="s">
        <v>244</v>
      </c>
      <c r="C40" s="165"/>
      <c r="D40" s="165"/>
      <c r="E40" s="165"/>
      <c r="F40" s="189"/>
      <c r="G40" s="32">
        <v>1</v>
      </c>
      <c r="H40" s="33">
        <v>499</v>
      </c>
      <c r="I40" s="33">
        <v>499</v>
      </c>
      <c r="J40" s="27">
        <v>255</v>
      </c>
      <c r="K40" s="19"/>
    </row>
    <row r="41" spans="1:11" ht="14.25" customHeight="1" x14ac:dyDescent="0.2">
      <c r="A41" s="14">
        <v>7</v>
      </c>
      <c r="B41" s="196" t="s">
        <v>25</v>
      </c>
      <c r="C41" s="165"/>
      <c r="D41" s="165"/>
      <c r="E41" s="165"/>
      <c r="F41" s="189"/>
      <c r="G41" s="32">
        <v>1</v>
      </c>
      <c r="H41" s="33">
        <v>490</v>
      </c>
      <c r="I41" s="33">
        <v>490</v>
      </c>
      <c r="J41" s="27">
        <v>250</v>
      </c>
      <c r="K41" s="19" t="s">
        <v>26</v>
      </c>
    </row>
    <row r="42" spans="1:11" ht="14.25" customHeight="1" x14ac:dyDescent="0.2">
      <c r="A42" s="14">
        <v>8</v>
      </c>
      <c r="B42" s="196" t="s">
        <v>27</v>
      </c>
      <c r="C42" s="165"/>
      <c r="D42" s="165"/>
      <c r="E42" s="165"/>
      <c r="F42" s="189"/>
      <c r="G42" s="32">
        <v>4</v>
      </c>
      <c r="H42" s="33">
        <v>190</v>
      </c>
      <c r="I42" s="33">
        <v>760</v>
      </c>
      <c r="J42" s="27">
        <v>400</v>
      </c>
      <c r="K42" s="19"/>
    </row>
    <row r="43" spans="1:11" ht="14.25" customHeight="1" x14ac:dyDescent="0.2">
      <c r="A43" s="14">
        <v>9</v>
      </c>
      <c r="B43" s="196" t="s">
        <v>245</v>
      </c>
      <c r="C43" s="165"/>
      <c r="D43" s="165"/>
      <c r="E43" s="165"/>
      <c r="F43" s="189"/>
      <c r="G43" s="32">
        <v>1</v>
      </c>
      <c r="H43" s="33">
        <v>290</v>
      </c>
      <c r="I43" s="33">
        <v>290</v>
      </c>
      <c r="J43" s="27">
        <v>150</v>
      </c>
      <c r="K43" s="19"/>
    </row>
    <row r="44" spans="1:11" ht="14.25" customHeight="1" x14ac:dyDescent="0.2">
      <c r="A44" s="14"/>
      <c r="B44" s="214"/>
      <c r="C44" s="165"/>
      <c r="D44" s="165"/>
      <c r="E44" s="165"/>
      <c r="F44" s="189"/>
      <c r="G44" s="32"/>
      <c r="H44" s="33"/>
      <c r="I44" s="33"/>
      <c r="J44" s="27"/>
      <c r="K44" s="19"/>
    </row>
    <row r="45" spans="1:11" ht="12" customHeight="1" x14ac:dyDescent="0.2">
      <c r="A45" s="14"/>
      <c r="B45" s="214"/>
      <c r="C45" s="165"/>
      <c r="D45" s="165"/>
      <c r="E45" s="165"/>
      <c r="F45" s="189"/>
      <c r="G45" s="32"/>
      <c r="H45" s="33"/>
      <c r="I45" s="33"/>
      <c r="J45" s="27"/>
      <c r="K45" s="19"/>
    </row>
    <row r="46" spans="1:11" ht="14.25" customHeight="1" x14ac:dyDescent="0.2">
      <c r="A46" s="14">
        <v>10</v>
      </c>
      <c r="B46" s="197" t="s">
        <v>29</v>
      </c>
      <c r="C46" s="165"/>
      <c r="D46" s="165"/>
      <c r="E46" s="165"/>
      <c r="F46" s="189"/>
      <c r="G46" s="26">
        <v>1</v>
      </c>
      <c r="H46" s="24">
        <v>150</v>
      </c>
      <c r="I46" s="24">
        <v>150</v>
      </c>
      <c r="J46" s="27">
        <v>100</v>
      </c>
      <c r="K46" s="19"/>
    </row>
    <row r="47" spans="1:11" ht="14.25" customHeight="1" x14ac:dyDescent="0.2">
      <c r="A47" s="71"/>
      <c r="B47" s="70"/>
      <c r="C47" s="34"/>
      <c r="D47" s="34"/>
      <c r="E47" s="34"/>
      <c r="F47" s="36"/>
      <c r="G47" s="26"/>
      <c r="H47" s="24"/>
      <c r="I47" s="24"/>
      <c r="J47" s="27"/>
      <c r="K47" s="19"/>
    </row>
    <row r="48" spans="1:11" ht="14.25" customHeight="1" x14ac:dyDescent="0.2">
      <c r="A48" s="71"/>
      <c r="B48" s="70"/>
      <c r="C48" s="34"/>
      <c r="D48" s="34"/>
      <c r="E48" s="34"/>
      <c r="F48" s="36"/>
      <c r="G48" s="26"/>
      <c r="H48" s="24"/>
      <c r="I48" s="24"/>
      <c r="J48" s="27"/>
      <c r="K48" s="19"/>
    </row>
    <row r="49" spans="1:11" ht="14.25" customHeight="1" x14ac:dyDescent="0.2">
      <c r="A49" s="62" t="s">
        <v>16</v>
      </c>
      <c r="B49" s="186" t="s">
        <v>17</v>
      </c>
      <c r="C49" s="168"/>
      <c r="D49" s="168"/>
      <c r="E49" s="168"/>
      <c r="F49" s="169"/>
      <c r="G49" s="10" t="s">
        <v>18</v>
      </c>
      <c r="H49" s="10" t="s">
        <v>19</v>
      </c>
      <c r="I49" s="10" t="s">
        <v>20</v>
      </c>
      <c r="J49" s="27"/>
      <c r="K49" s="19"/>
    </row>
    <row r="50" spans="1:11" ht="14.25" customHeight="1" x14ac:dyDescent="0.2">
      <c r="A50" s="71"/>
      <c r="B50" s="70"/>
      <c r="C50" s="34"/>
      <c r="D50" s="34"/>
      <c r="E50" s="34"/>
      <c r="F50" s="36"/>
      <c r="G50" s="26"/>
      <c r="H50" s="24"/>
      <c r="I50" s="24"/>
      <c r="J50" s="27"/>
      <c r="K50" s="19"/>
    </row>
    <row r="51" spans="1:11" ht="14.25" customHeight="1" x14ac:dyDescent="0.2">
      <c r="A51" s="71">
        <v>11</v>
      </c>
      <c r="B51" s="197" t="s">
        <v>115</v>
      </c>
      <c r="C51" s="165"/>
      <c r="D51" s="165"/>
      <c r="E51" s="165"/>
      <c r="F51" s="189"/>
      <c r="G51" s="26">
        <v>1</v>
      </c>
      <c r="H51" s="24">
        <v>169</v>
      </c>
      <c r="I51" s="24">
        <v>169</v>
      </c>
      <c r="J51" s="27">
        <v>150</v>
      </c>
      <c r="K51" s="19"/>
    </row>
    <row r="52" spans="1:11" ht="41.25" customHeight="1" x14ac:dyDescent="0.2">
      <c r="A52" s="71">
        <v>12</v>
      </c>
      <c r="B52" s="197" t="s">
        <v>246</v>
      </c>
      <c r="C52" s="165"/>
      <c r="D52" s="165"/>
      <c r="E52" s="165"/>
      <c r="F52" s="189"/>
      <c r="G52" s="26">
        <v>1</v>
      </c>
      <c r="H52" s="24">
        <v>290</v>
      </c>
      <c r="I52" s="24">
        <v>290</v>
      </c>
      <c r="J52" s="117">
        <v>150</v>
      </c>
      <c r="K52" s="19"/>
    </row>
    <row r="53" spans="1:11" ht="14.25" customHeight="1" x14ac:dyDescent="0.2">
      <c r="A53" s="71">
        <v>13</v>
      </c>
      <c r="B53" s="197" t="s">
        <v>36</v>
      </c>
      <c r="C53" s="165"/>
      <c r="D53" s="165"/>
      <c r="E53" s="165"/>
      <c r="F53" s="189"/>
      <c r="G53" s="26">
        <v>1</v>
      </c>
      <c r="H53" s="24">
        <v>99</v>
      </c>
      <c r="I53" s="24">
        <v>99</v>
      </c>
      <c r="J53" s="27">
        <v>60</v>
      </c>
      <c r="K53" s="19"/>
    </row>
    <row r="54" spans="1:11" ht="14.25" customHeight="1" x14ac:dyDescent="0.2">
      <c r="A54" s="71"/>
      <c r="B54" s="70"/>
      <c r="C54" s="34"/>
      <c r="D54" s="34"/>
      <c r="E54" s="34"/>
      <c r="F54" s="36"/>
      <c r="G54" s="26"/>
      <c r="H54" s="24"/>
      <c r="I54" s="24"/>
      <c r="J54" s="27"/>
      <c r="K54" s="19"/>
    </row>
    <row r="55" spans="1:11" ht="14.25" customHeight="1" x14ac:dyDescent="0.2">
      <c r="A55" s="71"/>
      <c r="B55" s="198" t="s">
        <v>247</v>
      </c>
      <c r="C55" s="165"/>
      <c r="D55" s="165"/>
      <c r="E55" s="165"/>
      <c r="F55" s="189"/>
      <c r="G55" s="26"/>
      <c r="H55" s="24"/>
      <c r="I55" s="24"/>
      <c r="J55" s="27"/>
      <c r="K55" s="19"/>
    </row>
    <row r="56" spans="1:11" ht="14.25" customHeight="1" x14ac:dyDescent="0.2">
      <c r="A56" s="71"/>
      <c r="B56" s="65"/>
      <c r="C56" s="35"/>
      <c r="D56" s="35"/>
      <c r="E56" s="35"/>
      <c r="F56" s="45"/>
      <c r="G56" s="26"/>
      <c r="H56" s="24"/>
      <c r="I56" s="24"/>
      <c r="J56" s="27"/>
      <c r="K56" s="19"/>
    </row>
    <row r="57" spans="1:11" ht="14.25" customHeight="1" x14ac:dyDescent="0.2">
      <c r="A57" s="71">
        <v>1</v>
      </c>
      <c r="B57" s="196" t="s">
        <v>248</v>
      </c>
      <c r="C57" s="165"/>
      <c r="D57" s="165"/>
      <c r="E57" s="165"/>
      <c r="F57" s="189"/>
      <c r="G57" s="118">
        <v>1</v>
      </c>
      <c r="H57" s="119">
        <v>7390</v>
      </c>
      <c r="I57" s="120">
        <v>7390</v>
      </c>
      <c r="J57" s="69">
        <v>7000</v>
      </c>
      <c r="K57" s="19"/>
    </row>
    <row r="58" spans="1:11" ht="14.25" customHeight="1" x14ac:dyDescent="0.2">
      <c r="A58" s="71">
        <v>2</v>
      </c>
      <c r="B58" s="196" t="s">
        <v>249</v>
      </c>
      <c r="C58" s="165"/>
      <c r="D58" s="165"/>
      <c r="E58" s="165"/>
      <c r="F58" s="189"/>
      <c r="G58" s="118">
        <v>1</v>
      </c>
      <c r="H58" s="119">
        <v>799</v>
      </c>
      <c r="I58" s="119">
        <v>799</v>
      </c>
      <c r="J58" s="27">
        <v>580</v>
      </c>
      <c r="K58" s="19"/>
    </row>
    <row r="59" spans="1:11" ht="14.25" customHeight="1" x14ac:dyDescent="0.2">
      <c r="A59" s="71">
        <v>3</v>
      </c>
      <c r="B59" s="196" t="s">
        <v>49</v>
      </c>
      <c r="C59" s="165"/>
      <c r="D59" s="165"/>
      <c r="E59" s="165"/>
      <c r="F59" s="189"/>
      <c r="G59" s="118">
        <v>1</v>
      </c>
      <c r="H59" s="119">
        <v>300</v>
      </c>
      <c r="I59" s="119">
        <v>300</v>
      </c>
      <c r="J59" s="27">
        <v>100</v>
      </c>
      <c r="K59" s="19"/>
    </row>
    <row r="60" spans="1:11" ht="14.25" customHeight="1" x14ac:dyDescent="0.2">
      <c r="A60" s="71">
        <v>4</v>
      </c>
      <c r="B60" s="196" t="s">
        <v>250</v>
      </c>
      <c r="C60" s="165"/>
      <c r="D60" s="165"/>
      <c r="E60" s="165"/>
      <c r="F60" s="189"/>
      <c r="G60" s="118">
        <v>1</v>
      </c>
      <c r="H60" s="119">
        <v>350</v>
      </c>
      <c r="I60" s="119">
        <v>350</v>
      </c>
      <c r="J60" s="27">
        <v>250</v>
      </c>
      <c r="K60" s="19"/>
    </row>
    <row r="61" spans="1:11" ht="14.25" customHeight="1" x14ac:dyDescent="0.2">
      <c r="A61" s="71"/>
      <c r="B61" s="214"/>
      <c r="C61" s="165"/>
      <c r="D61" s="165"/>
      <c r="E61" s="165"/>
      <c r="F61" s="189"/>
      <c r="G61" s="118"/>
      <c r="H61" s="119"/>
      <c r="I61" s="119"/>
      <c r="J61" s="27"/>
      <c r="K61" s="19"/>
    </row>
    <row r="62" spans="1:11" ht="14.25" customHeight="1" x14ac:dyDescent="0.2">
      <c r="A62" s="71">
        <v>5</v>
      </c>
      <c r="B62" s="196" t="s">
        <v>110</v>
      </c>
      <c r="C62" s="165"/>
      <c r="D62" s="165"/>
      <c r="E62" s="165"/>
      <c r="F62" s="189"/>
      <c r="G62" s="118">
        <v>1</v>
      </c>
      <c r="H62" s="119">
        <v>470</v>
      </c>
      <c r="I62" s="119">
        <v>470</v>
      </c>
      <c r="J62" s="27">
        <v>379</v>
      </c>
      <c r="K62" s="19"/>
    </row>
    <row r="63" spans="1:11" ht="14.25" customHeight="1" x14ac:dyDescent="0.2">
      <c r="A63" s="71"/>
      <c r="B63" s="214"/>
      <c r="C63" s="165"/>
      <c r="D63" s="165"/>
      <c r="E63" s="165"/>
      <c r="F63" s="189"/>
      <c r="G63" s="121"/>
      <c r="H63" s="24"/>
      <c r="I63" s="24"/>
      <c r="J63" s="27"/>
      <c r="K63" s="19"/>
    </row>
    <row r="64" spans="1:11" ht="14.25" customHeight="1" x14ac:dyDescent="0.2">
      <c r="A64" s="71">
        <v>6</v>
      </c>
      <c r="B64" s="196" t="s">
        <v>251</v>
      </c>
      <c r="C64" s="165"/>
      <c r="D64" s="165"/>
      <c r="E64" s="165"/>
      <c r="F64" s="189"/>
      <c r="G64" s="26">
        <v>1</v>
      </c>
      <c r="H64" s="33">
        <v>350</v>
      </c>
      <c r="I64" s="33">
        <v>350</v>
      </c>
      <c r="J64" s="27">
        <v>200</v>
      </c>
      <c r="K64" s="19"/>
    </row>
    <row r="65" spans="1:14" ht="14.25" customHeight="1" x14ac:dyDescent="0.2">
      <c r="A65" s="71"/>
      <c r="B65" s="214"/>
      <c r="C65" s="165"/>
      <c r="D65" s="165"/>
      <c r="E65" s="165"/>
      <c r="F65" s="189"/>
      <c r="G65" s="26"/>
      <c r="H65" s="68"/>
      <c r="I65" s="68"/>
      <c r="J65" s="27"/>
      <c r="K65" s="19"/>
    </row>
    <row r="66" spans="1:14" ht="14.25" customHeight="1" x14ac:dyDescent="0.2">
      <c r="A66" s="71"/>
      <c r="B66" s="214"/>
      <c r="C66" s="165"/>
      <c r="D66" s="165"/>
      <c r="E66" s="165"/>
      <c r="F66" s="189"/>
      <c r="G66" s="26"/>
      <c r="H66" s="68"/>
      <c r="I66" s="68"/>
      <c r="J66" s="27"/>
      <c r="K66" s="19"/>
    </row>
    <row r="67" spans="1:14" ht="14.25" customHeight="1" x14ac:dyDescent="0.2">
      <c r="A67" s="71">
        <v>7</v>
      </c>
      <c r="B67" s="197" t="s">
        <v>252</v>
      </c>
      <c r="C67" s="165"/>
      <c r="D67" s="165"/>
      <c r="E67" s="165"/>
      <c r="F67" s="189"/>
      <c r="G67" s="26">
        <v>1</v>
      </c>
      <c r="H67" s="221">
        <v>5899</v>
      </c>
      <c r="I67" s="221">
        <v>5899</v>
      </c>
      <c r="J67" s="215">
        <v>5390</v>
      </c>
      <c r="K67" s="19"/>
    </row>
    <row r="68" spans="1:14" ht="14.25" customHeight="1" x14ac:dyDescent="0.2">
      <c r="A68" s="71"/>
      <c r="B68" s="214"/>
      <c r="C68" s="165"/>
      <c r="D68" s="165"/>
      <c r="E68" s="165"/>
      <c r="F68" s="189"/>
      <c r="H68" s="194"/>
      <c r="I68" s="194"/>
      <c r="J68" s="194"/>
      <c r="K68" s="19"/>
    </row>
    <row r="69" spans="1:14" ht="14.25" customHeight="1" x14ac:dyDescent="0.2">
      <c r="A69" s="71"/>
      <c r="B69" s="214"/>
      <c r="C69" s="165"/>
      <c r="D69" s="165"/>
      <c r="E69" s="165"/>
      <c r="F69" s="189"/>
      <c r="G69" s="26"/>
      <c r="H69" s="194"/>
      <c r="I69" s="194"/>
      <c r="J69" s="194"/>
      <c r="K69" s="19"/>
      <c r="N69" s="122">
        <f>SUM(I64:I82)</f>
        <v>9499</v>
      </c>
    </row>
    <row r="70" spans="1:14" ht="14.25" customHeight="1" x14ac:dyDescent="0.2">
      <c r="A70" s="71"/>
      <c r="B70" s="214"/>
      <c r="C70" s="165"/>
      <c r="D70" s="165"/>
      <c r="E70" s="165"/>
      <c r="F70" s="189"/>
      <c r="G70" s="26"/>
      <c r="H70" s="194"/>
      <c r="I70" s="194"/>
      <c r="J70" s="194"/>
      <c r="K70" s="19"/>
    </row>
    <row r="71" spans="1:14" ht="22.5" customHeight="1" x14ac:dyDescent="0.2">
      <c r="A71" s="71"/>
      <c r="B71" s="214"/>
      <c r="C71" s="165"/>
      <c r="D71" s="165"/>
      <c r="E71" s="165"/>
      <c r="F71" s="189"/>
      <c r="G71" s="26"/>
      <c r="H71" s="194"/>
      <c r="I71" s="194"/>
      <c r="J71" s="27"/>
      <c r="K71" s="19"/>
    </row>
    <row r="72" spans="1:14" ht="18" customHeight="1" x14ac:dyDescent="0.2">
      <c r="A72" s="71">
        <v>8</v>
      </c>
      <c r="B72" s="197" t="s">
        <v>113</v>
      </c>
      <c r="C72" s="165"/>
      <c r="D72" s="165"/>
      <c r="E72" s="165"/>
      <c r="F72" s="189"/>
      <c r="G72" s="26">
        <v>1</v>
      </c>
      <c r="H72" s="68">
        <v>700</v>
      </c>
      <c r="I72" s="68">
        <v>700</v>
      </c>
      <c r="J72" s="27">
        <v>450</v>
      </c>
      <c r="K72" s="19"/>
    </row>
    <row r="73" spans="1:14" ht="12" customHeight="1" x14ac:dyDescent="0.2">
      <c r="A73" s="71">
        <v>9</v>
      </c>
      <c r="B73" s="197" t="s">
        <v>114</v>
      </c>
      <c r="C73" s="165"/>
      <c r="D73" s="165"/>
      <c r="E73" s="165"/>
      <c r="F73" s="189"/>
      <c r="G73" s="26">
        <v>1</v>
      </c>
      <c r="H73" s="68">
        <v>250</v>
      </c>
      <c r="I73" s="68">
        <v>250</v>
      </c>
      <c r="J73" s="27">
        <v>170</v>
      </c>
      <c r="K73" s="19"/>
    </row>
    <row r="74" spans="1:14" ht="14.25" customHeight="1" x14ac:dyDescent="0.2">
      <c r="A74" s="71">
        <v>10</v>
      </c>
      <c r="B74" s="197" t="s">
        <v>253</v>
      </c>
      <c r="C74" s="165"/>
      <c r="D74" s="165"/>
      <c r="E74" s="165"/>
      <c r="F74" s="189"/>
      <c r="G74" s="26">
        <v>1</v>
      </c>
      <c r="H74" s="33">
        <v>600</v>
      </c>
      <c r="I74" s="33">
        <v>600</v>
      </c>
      <c r="J74" s="27">
        <v>350</v>
      </c>
      <c r="K74" s="19"/>
      <c r="L74" s="38" t="s">
        <v>54</v>
      </c>
      <c r="M74" s="39" t="s">
        <v>55</v>
      </c>
      <c r="N74" s="40" t="s">
        <v>56</v>
      </c>
    </row>
    <row r="75" spans="1:14" ht="14.25" customHeight="1" x14ac:dyDescent="0.2">
      <c r="A75" s="71"/>
      <c r="B75" s="214"/>
      <c r="C75" s="165"/>
      <c r="D75" s="165"/>
      <c r="E75" s="165"/>
      <c r="F75" s="189"/>
      <c r="G75" s="26"/>
      <c r="H75" s="33"/>
      <c r="I75" s="33"/>
      <c r="J75" s="27"/>
      <c r="K75" s="19"/>
      <c r="L75" s="41">
        <f>I85</f>
        <v>26759</v>
      </c>
      <c r="M75" s="42">
        <f>SUM(J19:J82)</f>
        <v>19864</v>
      </c>
      <c r="N75" s="43">
        <f>L75-M75</f>
        <v>6895</v>
      </c>
    </row>
    <row r="76" spans="1:14" ht="14.25" customHeight="1" x14ac:dyDescent="0.2">
      <c r="A76" s="14">
        <v>11</v>
      </c>
      <c r="B76" s="197" t="s">
        <v>58</v>
      </c>
      <c r="C76" s="165"/>
      <c r="D76" s="165"/>
      <c r="E76" s="165"/>
      <c r="F76" s="189"/>
      <c r="G76" s="26">
        <v>1</v>
      </c>
      <c r="H76" s="33">
        <v>900</v>
      </c>
      <c r="I76" s="33">
        <v>900</v>
      </c>
      <c r="J76" s="27">
        <v>300</v>
      </c>
      <c r="K76" s="19"/>
    </row>
    <row r="77" spans="1:14" ht="14.25" customHeight="1" x14ac:dyDescent="0.2">
      <c r="A77" s="71">
        <v>12</v>
      </c>
      <c r="B77" s="197" t="s">
        <v>120</v>
      </c>
      <c r="C77" s="165"/>
      <c r="D77" s="165"/>
      <c r="E77" s="165"/>
      <c r="F77" s="189"/>
      <c r="G77" s="26">
        <v>1</v>
      </c>
      <c r="H77" s="33">
        <v>500</v>
      </c>
      <c r="I77" s="44">
        <v>500</v>
      </c>
      <c r="J77" s="27">
        <v>200</v>
      </c>
      <c r="K77" s="19"/>
    </row>
    <row r="78" spans="1:14" ht="14.25" customHeight="1" x14ac:dyDescent="0.2">
      <c r="A78" s="71"/>
      <c r="B78" s="70"/>
      <c r="C78" s="34"/>
      <c r="D78" s="34"/>
      <c r="E78" s="34"/>
      <c r="F78" s="36"/>
      <c r="G78" s="26"/>
      <c r="H78" s="33"/>
      <c r="I78" s="44"/>
      <c r="J78" s="27"/>
      <c r="K78" s="19"/>
    </row>
    <row r="79" spans="1:14" ht="14.25" customHeight="1" x14ac:dyDescent="0.2">
      <c r="A79" s="61"/>
      <c r="B79" s="198" t="s">
        <v>57</v>
      </c>
      <c r="C79" s="165"/>
      <c r="D79" s="165"/>
      <c r="E79" s="165"/>
      <c r="F79" s="189"/>
      <c r="G79" s="26"/>
      <c r="H79" s="33"/>
      <c r="I79" s="44"/>
      <c r="J79" s="27"/>
      <c r="K79" s="19"/>
    </row>
    <row r="80" spans="1:14" ht="14.25" customHeight="1" x14ac:dyDescent="0.2">
      <c r="A80" s="61"/>
      <c r="B80" s="65"/>
      <c r="C80" s="35"/>
      <c r="D80" s="35"/>
      <c r="E80" s="35"/>
      <c r="F80" s="45"/>
      <c r="G80" s="26"/>
      <c r="H80" s="33"/>
      <c r="I80" s="44"/>
      <c r="J80" s="27"/>
      <c r="K80" s="19"/>
    </row>
    <row r="81" spans="1:26" ht="14.25" customHeight="1" x14ac:dyDescent="0.2">
      <c r="A81" s="14">
        <v>1</v>
      </c>
      <c r="B81" s="196" t="s">
        <v>59</v>
      </c>
      <c r="C81" s="165"/>
      <c r="D81" s="165"/>
      <c r="E81" s="165"/>
      <c r="F81" s="189"/>
      <c r="G81" s="26">
        <v>1</v>
      </c>
      <c r="H81" s="33">
        <v>300</v>
      </c>
      <c r="I81" s="44">
        <v>300</v>
      </c>
      <c r="J81" s="46">
        <v>150</v>
      </c>
      <c r="K81" s="27"/>
    </row>
    <row r="82" spans="1:26" ht="14.25" customHeight="1" x14ac:dyDescent="0.2">
      <c r="A82" s="61"/>
      <c r="B82" s="196"/>
      <c r="C82" s="165"/>
      <c r="D82" s="165"/>
      <c r="E82" s="165"/>
      <c r="F82" s="189"/>
      <c r="G82" s="26"/>
      <c r="H82" s="33"/>
      <c r="I82" s="44"/>
      <c r="J82" s="27"/>
      <c r="K82" s="19"/>
    </row>
    <row r="83" spans="1:26" ht="27.75" customHeight="1" x14ac:dyDescent="0.2">
      <c r="A83" s="71"/>
      <c r="B83" s="220" t="s">
        <v>61</v>
      </c>
      <c r="C83" s="168"/>
      <c r="D83" s="168"/>
      <c r="E83" s="168"/>
      <c r="F83" s="169"/>
      <c r="G83" s="170" t="s">
        <v>62</v>
      </c>
      <c r="H83" s="168"/>
      <c r="I83" s="53">
        <f>SUM(I17:I82)</f>
        <v>26759</v>
      </c>
      <c r="J83" s="54"/>
      <c r="K83" s="12" t="s">
        <v>63</v>
      </c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24" customHeight="1" x14ac:dyDescent="0.2">
      <c r="A84" s="61"/>
      <c r="B84" s="7"/>
      <c r="C84" s="7"/>
      <c r="D84" s="7"/>
      <c r="E84" s="7"/>
      <c r="F84" s="7"/>
      <c r="G84" s="170" t="s">
        <v>64</v>
      </c>
      <c r="H84" s="168"/>
      <c r="I84" s="53">
        <v>0</v>
      </c>
      <c r="K84" s="12" t="s">
        <v>65</v>
      </c>
    </row>
    <row r="85" spans="1:26" ht="24" customHeight="1" x14ac:dyDescent="0.2">
      <c r="A85" s="61"/>
      <c r="B85" s="7"/>
      <c r="C85" s="7"/>
      <c r="D85" s="7"/>
      <c r="E85" s="7"/>
      <c r="F85" s="7"/>
      <c r="G85" s="162" t="s">
        <v>66</v>
      </c>
      <c r="H85" s="163"/>
      <c r="I85" s="55">
        <f>I83+I84</f>
        <v>26759</v>
      </c>
    </row>
    <row r="86" spans="1:26" ht="24" customHeight="1" x14ac:dyDescent="0.2">
      <c r="A86" s="61"/>
      <c r="B86" s="7"/>
      <c r="C86" s="7"/>
      <c r="D86" s="7"/>
      <c r="E86" s="7"/>
      <c r="F86" s="7"/>
      <c r="G86" s="56"/>
      <c r="H86" s="56"/>
      <c r="I86" s="57"/>
    </row>
    <row r="87" spans="1:26" ht="14.25" customHeight="1" x14ac:dyDescent="0.2">
      <c r="A87" s="61"/>
      <c r="B87" s="171" t="s">
        <v>67</v>
      </c>
      <c r="C87" s="165"/>
      <c r="D87" s="165"/>
      <c r="E87" s="165"/>
      <c r="F87" s="165"/>
      <c r="G87" s="165"/>
      <c r="H87" s="165"/>
      <c r="I87" s="165"/>
      <c r="K87" s="12" t="s">
        <v>68</v>
      </c>
    </row>
    <row r="88" spans="1:26" ht="14.25" customHeight="1" x14ac:dyDescent="0.2">
      <c r="A88" s="61"/>
      <c r="B88" s="165"/>
      <c r="C88" s="165"/>
      <c r="D88" s="165"/>
      <c r="E88" s="165"/>
      <c r="F88" s="165"/>
      <c r="G88" s="165"/>
      <c r="H88" s="165"/>
      <c r="I88" s="165"/>
      <c r="K88" s="12"/>
    </row>
    <row r="89" spans="1:26" ht="14.25" customHeight="1" x14ac:dyDescent="0.2">
      <c r="A89" s="61"/>
      <c r="B89" s="46" t="s">
        <v>69</v>
      </c>
    </row>
    <row r="90" spans="1:26" ht="14.25" customHeight="1" x14ac:dyDescent="0.2">
      <c r="A90" s="61"/>
      <c r="B90" s="20"/>
      <c r="C90" s="20"/>
      <c r="D90" s="20"/>
      <c r="E90" s="20"/>
      <c r="F90" s="20"/>
      <c r="G90" s="20"/>
      <c r="H90" s="20"/>
      <c r="I90" s="20"/>
    </row>
    <row r="91" spans="1:26" ht="14.25" customHeight="1" x14ac:dyDescent="0.2">
      <c r="A91" s="61"/>
      <c r="B91" s="58"/>
    </row>
    <row r="92" spans="1:26" ht="116.25" customHeight="1" x14ac:dyDescent="0.2">
      <c r="A92" s="61"/>
      <c r="B92" s="7"/>
      <c r="C92" s="7"/>
      <c r="D92" s="7"/>
      <c r="E92" s="7"/>
      <c r="F92" s="7"/>
      <c r="G92" s="164" t="s">
        <v>70</v>
      </c>
      <c r="H92" s="165"/>
      <c r="I92" s="165"/>
    </row>
    <row r="93" spans="1:26" ht="14.25" customHeight="1" x14ac:dyDescent="0.2">
      <c r="A93" s="61"/>
      <c r="B93" s="7"/>
      <c r="C93" s="7"/>
      <c r="D93" s="7"/>
      <c r="E93" s="7"/>
      <c r="F93" s="7"/>
      <c r="G93" s="165"/>
      <c r="H93" s="165"/>
      <c r="I93" s="165"/>
      <c r="K93" s="12" t="s">
        <v>71</v>
      </c>
    </row>
    <row r="94" spans="1:26" ht="14.25" customHeight="1" x14ac:dyDescent="0.2">
      <c r="A94" s="61"/>
      <c r="B94" s="59"/>
      <c r="C94" s="59"/>
      <c r="D94" s="59"/>
      <c r="E94" s="59"/>
      <c r="F94" s="59"/>
      <c r="G94" s="59"/>
      <c r="H94" s="59"/>
      <c r="I94" s="59"/>
      <c r="K94" s="12"/>
    </row>
    <row r="95" spans="1:26" ht="14.25" customHeight="1" x14ac:dyDescent="0.2">
      <c r="A95" s="61"/>
    </row>
    <row r="96" spans="1:26" ht="14.25" customHeight="1" x14ac:dyDescent="0.2">
      <c r="A96" s="61"/>
    </row>
    <row r="97" spans="1:1" ht="14.25" customHeight="1" x14ac:dyDescent="0.2">
      <c r="A97" s="61"/>
    </row>
    <row r="98" spans="1:1" ht="14.25" customHeight="1" x14ac:dyDescent="0.2">
      <c r="A98" s="61"/>
    </row>
    <row r="99" spans="1:1" ht="14.25" customHeight="1" x14ac:dyDescent="0.2">
      <c r="A99" s="61"/>
    </row>
    <row r="100" spans="1:1" ht="14.25" customHeight="1" x14ac:dyDescent="0.2">
      <c r="A100" s="61"/>
    </row>
    <row r="101" spans="1:1" ht="14.25" customHeight="1" x14ac:dyDescent="0.2">
      <c r="A101" s="61"/>
    </row>
    <row r="102" spans="1:1" ht="14.25" customHeight="1" x14ac:dyDescent="0.2">
      <c r="A102" s="61"/>
    </row>
    <row r="103" spans="1:1" ht="14.25" customHeight="1" x14ac:dyDescent="0.2">
      <c r="A103" s="61"/>
    </row>
    <row r="104" spans="1:1" ht="14.25" customHeight="1" x14ac:dyDescent="0.2">
      <c r="A104" s="61"/>
    </row>
    <row r="105" spans="1:1" ht="14.25" customHeight="1" x14ac:dyDescent="0.2">
      <c r="A105" s="61"/>
    </row>
    <row r="106" spans="1:1" ht="14.25" customHeight="1" x14ac:dyDescent="0.2">
      <c r="A106" s="61"/>
    </row>
    <row r="107" spans="1:1" ht="14.25" customHeight="1" x14ac:dyDescent="0.2">
      <c r="A107" s="61"/>
    </row>
    <row r="108" spans="1:1" ht="14.25" customHeight="1" x14ac:dyDescent="0.2">
      <c r="A108" s="61"/>
    </row>
    <row r="109" spans="1:1" ht="14.25" customHeight="1" x14ac:dyDescent="0.2">
      <c r="A109" s="61"/>
    </row>
    <row r="110" spans="1:1" ht="14.25" customHeight="1" x14ac:dyDescent="0.2">
      <c r="A110" s="61"/>
    </row>
    <row r="111" spans="1:1" ht="14.25" customHeight="1" x14ac:dyDescent="0.2">
      <c r="A111" s="61"/>
    </row>
    <row r="112" spans="1:1" ht="14.25" customHeight="1" x14ac:dyDescent="0.2">
      <c r="A112" s="61"/>
    </row>
    <row r="113" spans="1:1" ht="14.25" customHeight="1" x14ac:dyDescent="0.2">
      <c r="A113" s="61"/>
    </row>
    <row r="114" spans="1:1" ht="14.25" customHeight="1" x14ac:dyDescent="0.2">
      <c r="A114" s="61"/>
    </row>
    <row r="115" spans="1:1" ht="14.25" customHeight="1" x14ac:dyDescent="0.2">
      <c r="A115" s="61"/>
    </row>
    <row r="116" spans="1:1" ht="14.25" customHeight="1" x14ac:dyDescent="0.2">
      <c r="A116" s="61"/>
    </row>
    <row r="117" spans="1:1" ht="14.25" customHeight="1" x14ac:dyDescent="0.2">
      <c r="A117" s="61"/>
    </row>
    <row r="118" spans="1:1" ht="14.25" customHeight="1" x14ac:dyDescent="0.2">
      <c r="A118" s="61"/>
    </row>
    <row r="119" spans="1:1" ht="14.25" customHeight="1" x14ac:dyDescent="0.2">
      <c r="A119" s="61"/>
    </row>
    <row r="120" spans="1:1" ht="14.25" customHeight="1" x14ac:dyDescent="0.2">
      <c r="A120" s="61"/>
    </row>
    <row r="121" spans="1:1" ht="14.25" customHeight="1" x14ac:dyDescent="0.2">
      <c r="A121" s="61"/>
    </row>
    <row r="122" spans="1:1" ht="14.25" customHeight="1" x14ac:dyDescent="0.2">
      <c r="A122" s="61"/>
    </row>
    <row r="123" spans="1:1" ht="14.25" customHeight="1" x14ac:dyDescent="0.2">
      <c r="A123" s="61"/>
    </row>
    <row r="124" spans="1:1" ht="14.25" customHeight="1" x14ac:dyDescent="0.2">
      <c r="A124" s="61"/>
    </row>
    <row r="125" spans="1:1" ht="14.25" customHeight="1" x14ac:dyDescent="0.2">
      <c r="A125" s="61"/>
    </row>
    <row r="126" spans="1:1" ht="14.25" customHeight="1" x14ac:dyDescent="0.2">
      <c r="A126" s="61"/>
    </row>
    <row r="127" spans="1:1" ht="14.25" customHeight="1" x14ac:dyDescent="0.2">
      <c r="A127" s="61"/>
    </row>
    <row r="128" spans="1:1" ht="14.25" customHeight="1" x14ac:dyDescent="0.2">
      <c r="A128" s="61"/>
    </row>
    <row r="129" spans="1:1" ht="14.25" customHeight="1" x14ac:dyDescent="0.2">
      <c r="A129" s="61"/>
    </row>
    <row r="130" spans="1:1" ht="14.25" customHeight="1" x14ac:dyDescent="0.2">
      <c r="A130" s="61"/>
    </row>
    <row r="131" spans="1:1" ht="14.25" customHeight="1" x14ac:dyDescent="0.2">
      <c r="A131" s="61"/>
    </row>
    <row r="132" spans="1:1" ht="14.25" customHeight="1" x14ac:dyDescent="0.2">
      <c r="A132" s="61"/>
    </row>
    <row r="133" spans="1:1" ht="14.25" customHeight="1" x14ac:dyDescent="0.2">
      <c r="A133" s="61"/>
    </row>
    <row r="134" spans="1:1" ht="14.25" customHeight="1" x14ac:dyDescent="0.2">
      <c r="A134" s="61"/>
    </row>
    <row r="135" spans="1:1" ht="14.25" customHeight="1" x14ac:dyDescent="0.2">
      <c r="A135" s="61"/>
    </row>
    <row r="136" spans="1:1" ht="14.25" customHeight="1" x14ac:dyDescent="0.2">
      <c r="A136" s="61"/>
    </row>
    <row r="137" spans="1:1" ht="14.25" customHeight="1" x14ac:dyDescent="0.2">
      <c r="A137" s="61"/>
    </row>
    <row r="138" spans="1:1" ht="14.25" customHeight="1" x14ac:dyDescent="0.2">
      <c r="A138" s="61"/>
    </row>
    <row r="139" spans="1:1" ht="14.25" customHeight="1" x14ac:dyDescent="0.2">
      <c r="A139" s="61"/>
    </row>
    <row r="140" spans="1:1" ht="14.25" customHeight="1" x14ac:dyDescent="0.2">
      <c r="A140" s="61"/>
    </row>
    <row r="141" spans="1:1" ht="14.25" customHeight="1" x14ac:dyDescent="0.2">
      <c r="A141" s="61"/>
    </row>
    <row r="142" spans="1:1" ht="14.25" customHeight="1" x14ac:dyDescent="0.2">
      <c r="A142" s="61"/>
    </row>
    <row r="143" spans="1:1" ht="14.25" customHeight="1" x14ac:dyDescent="0.2">
      <c r="A143" s="61"/>
    </row>
    <row r="144" spans="1:1" ht="14.25" customHeight="1" x14ac:dyDescent="0.2">
      <c r="A144" s="61"/>
    </row>
    <row r="145" spans="1:1" ht="14.25" customHeight="1" x14ac:dyDescent="0.2">
      <c r="A145" s="61"/>
    </row>
    <row r="146" spans="1:1" ht="14.25" customHeight="1" x14ac:dyDescent="0.2">
      <c r="A146" s="61"/>
    </row>
    <row r="147" spans="1:1" ht="14.25" customHeight="1" x14ac:dyDescent="0.2">
      <c r="A147" s="61"/>
    </row>
    <row r="148" spans="1:1" ht="14.25" customHeight="1" x14ac:dyDescent="0.2">
      <c r="A148" s="61"/>
    </row>
    <row r="149" spans="1:1" ht="14.25" customHeight="1" x14ac:dyDescent="0.2">
      <c r="A149" s="61"/>
    </row>
    <row r="150" spans="1:1" ht="14.25" customHeight="1" x14ac:dyDescent="0.2">
      <c r="A150" s="61"/>
    </row>
    <row r="151" spans="1:1" ht="14.25" customHeight="1" x14ac:dyDescent="0.2">
      <c r="A151" s="61"/>
    </row>
    <row r="152" spans="1:1" ht="14.25" customHeight="1" x14ac:dyDescent="0.2">
      <c r="A152" s="61"/>
    </row>
    <row r="153" spans="1:1" ht="14.25" customHeight="1" x14ac:dyDescent="0.2">
      <c r="A153" s="61"/>
    </row>
    <row r="154" spans="1:1" ht="14.25" customHeight="1" x14ac:dyDescent="0.2">
      <c r="A154" s="61"/>
    </row>
    <row r="155" spans="1:1" ht="14.25" customHeight="1" x14ac:dyDescent="0.2">
      <c r="A155" s="61"/>
    </row>
    <row r="156" spans="1:1" ht="14.25" customHeight="1" x14ac:dyDescent="0.2">
      <c r="A156" s="61"/>
    </row>
    <row r="157" spans="1:1" ht="14.25" customHeight="1" x14ac:dyDescent="0.2">
      <c r="A157" s="61"/>
    </row>
    <row r="158" spans="1:1" ht="14.25" customHeight="1" x14ac:dyDescent="0.2">
      <c r="A158" s="61"/>
    </row>
    <row r="159" spans="1:1" ht="14.25" customHeight="1" x14ac:dyDescent="0.2">
      <c r="A159" s="61"/>
    </row>
    <row r="160" spans="1:1" ht="14.25" customHeight="1" x14ac:dyDescent="0.2">
      <c r="A160" s="61"/>
    </row>
    <row r="161" spans="1:1" ht="14.25" customHeight="1" x14ac:dyDescent="0.2">
      <c r="A161" s="61"/>
    </row>
    <row r="162" spans="1:1" ht="14.25" customHeight="1" x14ac:dyDescent="0.2">
      <c r="A162" s="61"/>
    </row>
    <row r="163" spans="1:1" ht="14.25" customHeight="1" x14ac:dyDescent="0.2">
      <c r="A163" s="61"/>
    </row>
    <row r="164" spans="1:1" ht="14.25" customHeight="1" x14ac:dyDescent="0.2">
      <c r="A164" s="61"/>
    </row>
    <row r="165" spans="1:1" ht="14.25" customHeight="1" x14ac:dyDescent="0.2">
      <c r="A165" s="61"/>
    </row>
    <row r="166" spans="1:1" ht="14.25" customHeight="1" x14ac:dyDescent="0.2">
      <c r="A166" s="61"/>
    </row>
    <row r="167" spans="1:1" ht="14.25" customHeight="1" x14ac:dyDescent="0.2">
      <c r="A167" s="61"/>
    </row>
    <row r="168" spans="1:1" ht="14.25" customHeight="1" x14ac:dyDescent="0.2">
      <c r="A168" s="61"/>
    </row>
    <row r="169" spans="1:1" ht="14.25" customHeight="1" x14ac:dyDescent="0.2">
      <c r="A169" s="61"/>
    </row>
    <row r="170" spans="1:1" ht="14.25" customHeight="1" x14ac:dyDescent="0.2">
      <c r="A170" s="61"/>
    </row>
    <row r="171" spans="1:1" ht="14.25" customHeight="1" x14ac:dyDescent="0.2">
      <c r="A171" s="61"/>
    </row>
    <row r="172" spans="1:1" ht="14.25" customHeight="1" x14ac:dyDescent="0.2">
      <c r="A172" s="61"/>
    </row>
    <row r="173" spans="1:1" ht="14.25" customHeight="1" x14ac:dyDescent="0.2">
      <c r="A173" s="61"/>
    </row>
    <row r="174" spans="1:1" ht="14.25" customHeight="1" x14ac:dyDescent="0.2">
      <c r="A174" s="61"/>
    </row>
    <row r="175" spans="1:1" ht="14.25" customHeight="1" x14ac:dyDescent="0.2">
      <c r="A175" s="61"/>
    </row>
    <row r="176" spans="1:1" ht="14.25" customHeight="1" x14ac:dyDescent="0.2">
      <c r="A176" s="61"/>
    </row>
    <row r="177" spans="1:1" ht="14.25" customHeight="1" x14ac:dyDescent="0.2">
      <c r="A177" s="61"/>
    </row>
    <row r="178" spans="1:1" ht="14.25" customHeight="1" x14ac:dyDescent="0.2">
      <c r="A178" s="61"/>
    </row>
    <row r="179" spans="1:1" ht="14.25" customHeight="1" x14ac:dyDescent="0.2">
      <c r="A179" s="61"/>
    </row>
    <row r="180" spans="1:1" ht="14.25" customHeight="1" x14ac:dyDescent="0.2">
      <c r="A180" s="61"/>
    </row>
    <row r="181" spans="1:1" ht="14.25" customHeight="1" x14ac:dyDescent="0.2">
      <c r="A181" s="61"/>
    </row>
    <row r="182" spans="1:1" ht="14.25" customHeight="1" x14ac:dyDescent="0.2">
      <c r="A182" s="61"/>
    </row>
    <row r="183" spans="1:1" ht="14.25" customHeight="1" x14ac:dyDescent="0.2">
      <c r="A183" s="61"/>
    </row>
    <row r="184" spans="1:1" ht="14.25" customHeight="1" x14ac:dyDescent="0.2">
      <c r="A184" s="61"/>
    </row>
    <row r="185" spans="1:1" ht="14.25" customHeight="1" x14ac:dyDescent="0.2">
      <c r="A185" s="61"/>
    </row>
    <row r="186" spans="1:1" ht="14.25" customHeight="1" x14ac:dyDescent="0.2">
      <c r="A186" s="61"/>
    </row>
    <row r="187" spans="1:1" ht="14.25" customHeight="1" x14ac:dyDescent="0.2">
      <c r="A187" s="61"/>
    </row>
    <row r="188" spans="1:1" ht="14.25" customHeight="1" x14ac:dyDescent="0.2">
      <c r="A188" s="61"/>
    </row>
    <row r="189" spans="1:1" ht="14.25" customHeight="1" x14ac:dyDescent="0.2">
      <c r="A189" s="61"/>
    </row>
    <row r="190" spans="1:1" ht="14.25" customHeight="1" x14ac:dyDescent="0.2">
      <c r="A190" s="61"/>
    </row>
    <row r="191" spans="1:1" ht="14.25" customHeight="1" x14ac:dyDescent="0.2">
      <c r="A191" s="61"/>
    </row>
    <row r="192" spans="1:1" ht="14.25" customHeight="1" x14ac:dyDescent="0.2">
      <c r="A192" s="61"/>
    </row>
    <row r="193" spans="1:1" ht="14.25" customHeight="1" x14ac:dyDescent="0.2">
      <c r="A193" s="61"/>
    </row>
    <row r="194" spans="1:1" ht="14.25" customHeight="1" x14ac:dyDescent="0.2">
      <c r="A194" s="61"/>
    </row>
    <row r="195" spans="1:1" ht="14.25" customHeight="1" x14ac:dyDescent="0.2">
      <c r="A195" s="61"/>
    </row>
    <row r="196" spans="1:1" ht="14.25" customHeight="1" x14ac:dyDescent="0.2">
      <c r="A196" s="61"/>
    </row>
    <row r="197" spans="1:1" ht="14.25" customHeight="1" x14ac:dyDescent="0.2">
      <c r="A197" s="61"/>
    </row>
    <row r="198" spans="1:1" ht="14.25" customHeight="1" x14ac:dyDescent="0.2">
      <c r="A198" s="61"/>
    </row>
    <row r="199" spans="1:1" ht="14.25" customHeight="1" x14ac:dyDescent="0.2">
      <c r="A199" s="61"/>
    </row>
    <row r="200" spans="1:1" ht="14.25" customHeight="1" x14ac:dyDescent="0.2">
      <c r="A200" s="61"/>
    </row>
    <row r="201" spans="1:1" ht="14.25" customHeight="1" x14ac:dyDescent="0.2">
      <c r="A201" s="61"/>
    </row>
    <row r="202" spans="1:1" ht="14.25" customHeight="1" x14ac:dyDescent="0.2">
      <c r="A202" s="61"/>
    </row>
    <row r="203" spans="1:1" ht="14.25" customHeight="1" x14ac:dyDescent="0.2">
      <c r="A203" s="61"/>
    </row>
    <row r="204" spans="1:1" ht="14.25" customHeight="1" x14ac:dyDescent="0.2">
      <c r="A204" s="61"/>
    </row>
    <row r="205" spans="1:1" ht="14.25" customHeight="1" x14ac:dyDescent="0.2">
      <c r="A205" s="61"/>
    </row>
    <row r="206" spans="1:1" ht="14.25" customHeight="1" x14ac:dyDescent="0.2">
      <c r="A206" s="61"/>
    </row>
    <row r="207" spans="1:1" ht="14.25" customHeight="1" x14ac:dyDescent="0.2">
      <c r="A207" s="61"/>
    </row>
    <row r="208" spans="1:1" ht="14.25" customHeight="1" x14ac:dyDescent="0.2">
      <c r="A208" s="61"/>
    </row>
    <row r="209" spans="1:1" ht="14.25" customHeight="1" x14ac:dyDescent="0.2">
      <c r="A209" s="61"/>
    </row>
    <row r="210" spans="1:1" ht="14.25" customHeight="1" x14ac:dyDescent="0.2">
      <c r="A210" s="61"/>
    </row>
    <row r="211" spans="1:1" ht="14.25" customHeight="1" x14ac:dyDescent="0.2">
      <c r="A211" s="61"/>
    </row>
    <row r="212" spans="1:1" ht="14.25" customHeight="1" x14ac:dyDescent="0.2">
      <c r="A212" s="61"/>
    </row>
    <row r="213" spans="1:1" ht="14.25" customHeight="1" x14ac:dyDescent="0.2">
      <c r="A213" s="61"/>
    </row>
    <row r="214" spans="1:1" ht="14.25" customHeight="1" x14ac:dyDescent="0.2">
      <c r="A214" s="61"/>
    </row>
    <row r="215" spans="1:1" ht="14.25" customHeight="1" x14ac:dyDescent="0.2">
      <c r="A215" s="61"/>
    </row>
    <row r="216" spans="1:1" ht="14.25" customHeight="1" x14ac:dyDescent="0.2">
      <c r="A216" s="61"/>
    </row>
    <row r="217" spans="1:1" ht="14.25" customHeight="1" x14ac:dyDescent="0.2">
      <c r="A217" s="61"/>
    </row>
    <row r="218" spans="1:1" ht="14.25" customHeight="1" x14ac:dyDescent="0.2">
      <c r="A218" s="61"/>
    </row>
    <row r="219" spans="1:1" ht="14.25" customHeight="1" x14ac:dyDescent="0.2">
      <c r="A219" s="61"/>
    </row>
    <row r="220" spans="1:1" ht="14.25" customHeight="1" x14ac:dyDescent="0.2">
      <c r="A220" s="61"/>
    </row>
    <row r="221" spans="1:1" ht="14.25" customHeight="1" x14ac:dyDescent="0.2">
      <c r="A221" s="61"/>
    </row>
    <row r="222" spans="1:1" ht="14.25" customHeight="1" x14ac:dyDescent="0.2">
      <c r="A222" s="61"/>
    </row>
    <row r="223" spans="1:1" ht="14.25" customHeight="1" x14ac:dyDescent="0.2">
      <c r="A223" s="61"/>
    </row>
    <row r="224" spans="1:1" ht="14.25" customHeight="1" x14ac:dyDescent="0.2">
      <c r="A224" s="61"/>
    </row>
    <row r="225" spans="1:1" ht="14.25" customHeight="1" x14ac:dyDescent="0.2">
      <c r="A225" s="61"/>
    </row>
    <row r="226" spans="1:1" ht="14.25" customHeight="1" x14ac:dyDescent="0.2">
      <c r="A226" s="61"/>
    </row>
    <row r="227" spans="1:1" ht="14.25" customHeight="1" x14ac:dyDescent="0.2">
      <c r="A227" s="61"/>
    </row>
    <row r="228" spans="1:1" ht="14.25" customHeight="1" x14ac:dyDescent="0.2">
      <c r="A228" s="61"/>
    </row>
    <row r="229" spans="1:1" ht="14.25" customHeight="1" x14ac:dyDescent="0.2">
      <c r="A229" s="61"/>
    </row>
    <row r="230" spans="1:1" ht="14.25" customHeight="1" x14ac:dyDescent="0.2">
      <c r="A230" s="61"/>
    </row>
    <row r="231" spans="1:1" ht="14.25" customHeight="1" x14ac:dyDescent="0.2">
      <c r="A231" s="61"/>
    </row>
    <row r="232" spans="1:1" ht="14.25" customHeight="1" x14ac:dyDescent="0.2">
      <c r="A232" s="61"/>
    </row>
    <row r="233" spans="1:1" ht="14.25" customHeight="1" x14ac:dyDescent="0.2">
      <c r="A233" s="61"/>
    </row>
    <row r="234" spans="1:1" ht="14.25" customHeight="1" x14ac:dyDescent="0.2">
      <c r="A234" s="61"/>
    </row>
    <row r="235" spans="1:1" ht="14.25" customHeight="1" x14ac:dyDescent="0.2">
      <c r="A235" s="61"/>
    </row>
    <row r="236" spans="1:1" ht="14.25" customHeight="1" x14ac:dyDescent="0.2">
      <c r="A236" s="61"/>
    </row>
    <row r="237" spans="1:1" ht="14.25" customHeight="1" x14ac:dyDescent="0.2">
      <c r="A237" s="61"/>
    </row>
    <row r="238" spans="1:1" ht="14.25" customHeight="1" x14ac:dyDescent="0.2">
      <c r="A238" s="61"/>
    </row>
    <row r="239" spans="1:1" ht="14.25" customHeight="1" x14ac:dyDescent="0.2">
      <c r="A239" s="61"/>
    </row>
    <row r="240" spans="1:1" ht="14.25" customHeight="1" x14ac:dyDescent="0.2">
      <c r="A240" s="61"/>
    </row>
    <row r="241" spans="1:1" ht="14.25" customHeight="1" x14ac:dyDescent="0.2">
      <c r="A241" s="61"/>
    </row>
    <row r="242" spans="1:1" ht="14.25" customHeight="1" x14ac:dyDescent="0.2">
      <c r="A242" s="61"/>
    </row>
    <row r="243" spans="1:1" ht="14.25" customHeight="1" x14ac:dyDescent="0.2">
      <c r="A243" s="61"/>
    </row>
    <row r="244" spans="1:1" ht="14.25" customHeight="1" x14ac:dyDescent="0.2">
      <c r="A244" s="61"/>
    </row>
    <row r="245" spans="1:1" ht="14.25" customHeight="1" x14ac:dyDescent="0.2">
      <c r="A245" s="61"/>
    </row>
    <row r="246" spans="1:1" ht="14.25" customHeight="1" x14ac:dyDescent="0.2">
      <c r="A246" s="61"/>
    </row>
    <row r="247" spans="1:1" ht="14.25" customHeight="1" x14ac:dyDescent="0.2">
      <c r="A247" s="61"/>
    </row>
    <row r="248" spans="1:1" ht="14.25" customHeight="1" x14ac:dyDescent="0.2">
      <c r="A248" s="61"/>
    </row>
    <row r="249" spans="1:1" ht="14.25" customHeight="1" x14ac:dyDescent="0.2">
      <c r="A249" s="61"/>
    </row>
    <row r="250" spans="1:1" ht="14.25" customHeight="1" x14ac:dyDescent="0.2">
      <c r="A250" s="61"/>
    </row>
    <row r="251" spans="1:1" ht="14.25" customHeight="1" x14ac:dyDescent="0.2">
      <c r="A251" s="61"/>
    </row>
    <row r="252" spans="1:1" ht="14.25" customHeight="1" x14ac:dyDescent="0.2">
      <c r="A252" s="61"/>
    </row>
    <row r="253" spans="1:1" ht="14.25" customHeight="1" x14ac:dyDescent="0.2">
      <c r="A253" s="61"/>
    </row>
    <row r="254" spans="1:1" ht="14.25" customHeight="1" x14ac:dyDescent="0.2">
      <c r="A254" s="61"/>
    </row>
    <row r="255" spans="1:1" ht="14.25" customHeight="1" x14ac:dyDescent="0.2">
      <c r="A255" s="61"/>
    </row>
    <row r="256" spans="1:1" ht="14.25" customHeight="1" x14ac:dyDescent="0.2">
      <c r="A256" s="61"/>
    </row>
    <row r="257" spans="1:1" ht="14.25" customHeight="1" x14ac:dyDescent="0.2">
      <c r="A257" s="61"/>
    </row>
    <row r="258" spans="1:1" ht="14.25" customHeight="1" x14ac:dyDescent="0.2">
      <c r="A258" s="61"/>
    </row>
    <row r="259" spans="1:1" ht="14.25" customHeight="1" x14ac:dyDescent="0.2">
      <c r="A259" s="61"/>
    </row>
    <row r="260" spans="1:1" ht="14.25" customHeight="1" x14ac:dyDescent="0.2">
      <c r="A260" s="61"/>
    </row>
    <row r="261" spans="1:1" ht="14.25" customHeight="1" x14ac:dyDescent="0.2">
      <c r="A261" s="61"/>
    </row>
    <row r="262" spans="1:1" ht="14.25" customHeight="1" x14ac:dyDescent="0.2">
      <c r="A262" s="61"/>
    </row>
    <row r="263" spans="1:1" ht="14.25" customHeight="1" x14ac:dyDescent="0.2">
      <c r="A263" s="61"/>
    </row>
    <row r="264" spans="1:1" ht="14.25" customHeight="1" x14ac:dyDescent="0.2">
      <c r="A264" s="61"/>
    </row>
    <row r="265" spans="1:1" ht="14.25" customHeight="1" x14ac:dyDescent="0.2">
      <c r="A265" s="61"/>
    </row>
    <row r="266" spans="1:1" ht="14.25" customHeight="1" x14ac:dyDescent="0.2">
      <c r="A266" s="61"/>
    </row>
    <row r="267" spans="1:1" ht="14.25" customHeight="1" x14ac:dyDescent="0.2">
      <c r="A267" s="61"/>
    </row>
    <row r="268" spans="1:1" ht="14.25" customHeight="1" x14ac:dyDescent="0.2">
      <c r="A268" s="61"/>
    </row>
    <row r="269" spans="1:1" ht="14.25" customHeight="1" x14ac:dyDescent="0.2">
      <c r="A269" s="61"/>
    </row>
    <row r="270" spans="1:1" ht="14.25" customHeight="1" x14ac:dyDescent="0.2">
      <c r="A270" s="61"/>
    </row>
    <row r="271" spans="1:1" ht="14.25" customHeight="1" x14ac:dyDescent="0.2">
      <c r="A271" s="61"/>
    </row>
    <row r="272" spans="1:1" ht="14.25" customHeight="1" x14ac:dyDescent="0.2">
      <c r="A272" s="61"/>
    </row>
    <row r="273" spans="1:1" ht="14.25" customHeight="1" x14ac:dyDescent="0.2">
      <c r="A273" s="61"/>
    </row>
    <row r="274" spans="1:1" ht="14.25" customHeight="1" x14ac:dyDescent="0.2">
      <c r="A274" s="61"/>
    </row>
    <row r="275" spans="1:1" ht="14.25" customHeight="1" x14ac:dyDescent="0.2">
      <c r="A275" s="61"/>
    </row>
    <row r="276" spans="1:1" ht="14.25" customHeight="1" x14ac:dyDescent="0.2">
      <c r="A276" s="61"/>
    </row>
    <row r="277" spans="1:1" ht="14.25" customHeight="1" x14ac:dyDescent="0.2">
      <c r="A277" s="61"/>
    </row>
    <row r="278" spans="1:1" ht="14.25" customHeight="1" x14ac:dyDescent="0.2">
      <c r="A278" s="61"/>
    </row>
    <row r="279" spans="1:1" ht="14.25" customHeight="1" x14ac:dyDescent="0.2">
      <c r="A279" s="61"/>
    </row>
    <row r="280" spans="1:1" ht="14.25" customHeight="1" x14ac:dyDescent="0.2">
      <c r="A280" s="61"/>
    </row>
    <row r="281" spans="1:1" ht="14.25" customHeight="1" x14ac:dyDescent="0.2">
      <c r="A281" s="61"/>
    </row>
    <row r="282" spans="1:1" ht="14.25" customHeight="1" x14ac:dyDescent="0.2">
      <c r="A282" s="61"/>
    </row>
    <row r="283" spans="1:1" ht="14.25" customHeight="1" x14ac:dyDescent="0.2">
      <c r="A283" s="61"/>
    </row>
    <row r="284" spans="1:1" ht="14.25" customHeight="1" x14ac:dyDescent="0.2">
      <c r="A284" s="61"/>
    </row>
    <row r="285" spans="1:1" ht="14.25" customHeight="1" x14ac:dyDescent="0.2">
      <c r="A285" s="61"/>
    </row>
    <row r="286" spans="1:1" ht="14.25" customHeight="1" x14ac:dyDescent="0.2">
      <c r="A286" s="61"/>
    </row>
    <row r="287" spans="1:1" ht="14.25" customHeight="1" x14ac:dyDescent="0.2">
      <c r="A287" s="61"/>
    </row>
    <row r="288" spans="1:1" ht="14.25" customHeight="1" x14ac:dyDescent="0.2">
      <c r="A288" s="61"/>
    </row>
    <row r="289" spans="1:1" ht="14.25" customHeight="1" x14ac:dyDescent="0.2">
      <c r="A289" s="61"/>
    </row>
    <row r="290" spans="1:1" ht="14.25" customHeight="1" x14ac:dyDescent="0.2">
      <c r="A290" s="61"/>
    </row>
    <row r="291" spans="1:1" ht="14.25" customHeight="1" x14ac:dyDescent="0.2">
      <c r="A291" s="61"/>
    </row>
    <row r="292" spans="1:1" ht="14.25" customHeight="1" x14ac:dyDescent="0.2">
      <c r="A292" s="61"/>
    </row>
    <row r="293" spans="1:1" ht="14.25" customHeight="1" x14ac:dyDescent="0.2">
      <c r="A293" s="61"/>
    </row>
    <row r="294" spans="1:1" ht="14.25" customHeight="1" x14ac:dyDescent="0.2">
      <c r="A294" s="61"/>
    </row>
    <row r="295" spans="1:1" ht="14.25" customHeight="1" x14ac:dyDescent="0.2">
      <c r="A295" s="61"/>
    </row>
    <row r="296" spans="1:1" ht="14.25" customHeight="1" x14ac:dyDescent="0.2">
      <c r="A296" s="61"/>
    </row>
    <row r="297" spans="1:1" ht="14.25" customHeight="1" x14ac:dyDescent="0.2">
      <c r="A297" s="61"/>
    </row>
    <row r="298" spans="1:1" ht="14.25" customHeight="1" x14ac:dyDescent="0.2">
      <c r="A298" s="61"/>
    </row>
    <row r="299" spans="1:1" ht="14.25" customHeight="1" x14ac:dyDescent="0.2">
      <c r="A299" s="61"/>
    </row>
    <row r="300" spans="1:1" ht="14.25" customHeight="1" x14ac:dyDescent="0.2">
      <c r="A300" s="61"/>
    </row>
    <row r="301" spans="1:1" ht="14.25" customHeight="1" x14ac:dyDescent="0.2">
      <c r="A301" s="61"/>
    </row>
    <row r="302" spans="1:1" ht="14.25" customHeight="1" x14ac:dyDescent="0.2">
      <c r="A302" s="61"/>
    </row>
    <row r="303" spans="1:1" ht="14.25" customHeight="1" x14ac:dyDescent="0.2">
      <c r="A303" s="61"/>
    </row>
    <row r="304" spans="1:1" ht="14.25" customHeight="1" x14ac:dyDescent="0.2">
      <c r="A304" s="61"/>
    </row>
    <row r="305" spans="1:1" ht="14.25" customHeight="1" x14ac:dyDescent="0.2">
      <c r="A305" s="61"/>
    </row>
    <row r="306" spans="1:1" ht="14.25" customHeight="1" x14ac:dyDescent="0.2">
      <c r="A306" s="61"/>
    </row>
    <row r="307" spans="1:1" ht="14.25" customHeight="1" x14ac:dyDescent="0.2">
      <c r="A307" s="61"/>
    </row>
    <row r="308" spans="1:1" ht="14.25" customHeight="1" x14ac:dyDescent="0.2">
      <c r="A308" s="61"/>
    </row>
    <row r="309" spans="1:1" ht="14.25" customHeight="1" x14ac:dyDescent="0.2">
      <c r="A309" s="61"/>
    </row>
    <row r="310" spans="1:1" ht="14.25" customHeight="1" x14ac:dyDescent="0.2">
      <c r="A310" s="61"/>
    </row>
    <row r="311" spans="1:1" ht="14.25" customHeight="1" x14ac:dyDescent="0.2">
      <c r="A311" s="61"/>
    </row>
    <row r="312" spans="1:1" ht="14.25" customHeight="1" x14ac:dyDescent="0.2">
      <c r="A312" s="61"/>
    </row>
    <row r="313" spans="1:1" ht="14.25" customHeight="1" x14ac:dyDescent="0.2">
      <c r="A313" s="61"/>
    </row>
    <row r="314" spans="1:1" ht="14.25" customHeight="1" x14ac:dyDescent="0.2">
      <c r="A314" s="61"/>
    </row>
    <row r="315" spans="1:1" ht="14.25" customHeight="1" x14ac:dyDescent="0.2">
      <c r="A315" s="61"/>
    </row>
    <row r="316" spans="1:1" ht="14.25" customHeight="1" x14ac:dyDescent="0.2">
      <c r="A316" s="61"/>
    </row>
    <row r="317" spans="1:1" ht="14.25" customHeight="1" x14ac:dyDescent="0.2">
      <c r="A317" s="61"/>
    </row>
    <row r="318" spans="1:1" ht="14.25" customHeight="1" x14ac:dyDescent="0.2">
      <c r="A318" s="61"/>
    </row>
    <row r="319" spans="1:1" ht="14.25" customHeight="1" x14ac:dyDescent="0.2">
      <c r="A319" s="61"/>
    </row>
    <row r="320" spans="1:1" ht="14.25" customHeight="1" x14ac:dyDescent="0.2">
      <c r="A320" s="61"/>
    </row>
    <row r="321" spans="1:1" ht="14.25" customHeight="1" x14ac:dyDescent="0.2">
      <c r="A321" s="61"/>
    </row>
    <row r="322" spans="1:1" ht="14.25" customHeight="1" x14ac:dyDescent="0.2">
      <c r="A322" s="61"/>
    </row>
    <row r="323" spans="1:1" ht="14.25" customHeight="1" x14ac:dyDescent="0.2">
      <c r="A323" s="61"/>
    </row>
    <row r="324" spans="1:1" ht="14.25" customHeight="1" x14ac:dyDescent="0.2">
      <c r="A324" s="61"/>
    </row>
    <row r="325" spans="1:1" ht="14.25" customHeight="1" x14ac:dyDescent="0.2">
      <c r="A325" s="61"/>
    </row>
    <row r="326" spans="1:1" ht="14.25" customHeight="1" x14ac:dyDescent="0.2">
      <c r="A326" s="61"/>
    </row>
    <row r="327" spans="1:1" ht="14.25" customHeight="1" x14ac:dyDescent="0.2">
      <c r="A327" s="61"/>
    </row>
    <row r="328" spans="1:1" ht="14.25" customHeight="1" x14ac:dyDescent="0.2">
      <c r="A328" s="61"/>
    </row>
    <row r="329" spans="1:1" ht="14.25" customHeight="1" x14ac:dyDescent="0.2">
      <c r="A329" s="61"/>
    </row>
    <row r="330" spans="1:1" ht="14.25" customHeight="1" x14ac:dyDescent="0.2">
      <c r="A330" s="61"/>
    </row>
    <row r="331" spans="1:1" ht="14.25" customHeight="1" x14ac:dyDescent="0.2">
      <c r="A331" s="61"/>
    </row>
    <row r="332" spans="1:1" ht="14.25" customHeight="1" x14ac:dyDescent="0.2">
      <c r="A332" s="61"/>
    </row>
    <row r="333" spans="1:1" ht="14.25" customHeight="1" x14ac:dyDescent="0.2">
      <c r="A333" s="61"/>
    </row>
    <row r="334" spans="1:1" ht="14.25" customHeight="1" x14ac:dyDescent="0.2">
      <c r="A334" s="61"/>
    </row>
    <row r="335" spans="1:1" ht="14.25" customHeight="1" x14ac:dyDescent="0.2">
      <c r="A335" s="61"/>
    </row>
    <row r="336" spans="1:1" ht="14.25" customHeight="1" x14ac:dyDescent="0.2">
      <c r="A336" s="61"/>
    </row>
    <row r="337" spans="1:1" ht="14.25" customHeight="1" x14ac:dyDescent="0.2">
      <c r="A337" s="61"/>
    </row>
    <row r="338" spans="1:1" ht="14.25" customHeight="1" x14ac:dyDescent="0.2">
      <c r="A338" s="61"/>
    </row>
    <row r="339" spans="1:1" ht="14.25" customHeight="1" x14ac:dyDescent="0.2">
      <c r="A339" s="61"/>
    </row>
    <row r="340" spans="1:1" ht="14.25" customHeight="1" x14ac:dyDescent="0.2">
      <c r="A340" s="61"/>
    </row>
    <row r="341" spans="1:1" ht="14.25" customHeight="1" x14ac:dyDescent="0.2">
      <c r="A341" s="61"/>
    </row>
    <row r="342" spans="1:1" ht="14.25" customHeight="1" x14ac:dyDescent="0.2">
      <c r="A342" s="61"/>
    </row>
    <row r="343" spans="1:1" ht="14.25" customHeight="1" x14ac:dyDescent="0.2">
      <c r="A343" s="61"/>
    </row>
    <row r="344" spans="1:1" ht="14.25" customHeight="1" x14ac:dyDescent="0.2">
      <c r="A344" s="61"/>
    </row>
    <row r="345" spans="1:1" ht="14.25" customHeight="1" x14ac:dyDescent="0.2">
      <c r="A345" s="61"/>
    </row>
    <row r="346" spans="1:1" ht="14.25" customHeight="1" x14ac:dyDescent="0.2">
      <c r="A346" s="61"/>
    </row>
    <row r="347" spans="1:1" ht="14.25" customHeight="1" x14ac:dyDescent="0.2">
      <c r="A347" s="61"/>
    </row>
    <row r="348" spans="1:1" ht="14.25" customHeight="1" x14ac:dyDescent="0.2">
      <c r="A348" s="61"/>
    </row>
    <row r="349" spans="1:1" ht="14.25" customHeight="1" x14ac:dyDescent="0.2">
      <c r="A349" s="61"/>
    </row>
    <row r="350" spans="1:1" ht="14.25" customHeight="1" x14ac:dyDescent="0.2">
      <c r="A350" s="61"/>
    </row>
    <row r="351" spans="1:1" ht="14.25" customHeight="1" x14ac:dyDescent="0.2">
      <c r="A351" s="61"/>
    </row>
    <row r="352" spans="1:1" ht="14.25" customHeight="1" x14ac:dyDescent="0.2">
      <c r="A352" s="61"/>
    </row>
    <row r="353" spans="1:1" ht="14.25" customHeight="1" x14ac:dyDescent="0.2">
      <c r="A353" s="61"/>
    </row>
    <row r="354" spans="1:1" ht="14.25" customHeight="1" x14ac:dyDescent="0.2">
      <c r="A354" s="61"/>
    </row>
    <row r="355" spans="1:1" ht="14.25" customHeight="1" x14ac:dyDescent="0.2">
      <c r="A355" s="61"/>
    </row>
    <row r="356" spans="1:1" ht="14.25" customHeight="1" x14ac:dyDescent="0.2">
      <c r="A356" s="61"/>
    </row>
    <row r="357" spans="1:1" ht="14.25" customHeight="1" x14ac:dyDescent="0.2">
      <c r="A357" s="61"/>
    </row>
    <row r="358" spans="1:1" ht="14.25" customHeight="1" x14ac:dyDescent="0.2">
      <c r="A358" s="61"/>
    </row>
    <row r="359" spans="1:1" ht="14.25" customHeight="1" x14ac:dyDescent="0.2">
      <c r="A359" s="61"/>
    </row>
    <row r="360" spans="1:1" ht="14.25" customHeight="1" x14ac:dyDescent="0.2">
      <c r="A360" s="61"/>
    </row>
    <row r="361" spans="1:1" ht="14.25" customHeight="1" x14ac:dyDescent="0.2">
      <c r="A361" s="61"/>
    </row>
    <row r="362" spans="1:1" ht="14.25" customHeight="1" x14ac:dyDescent="0.2">
      <c r="A362" s="61"/>
    </row>
    <row r="363" spans="1:1" ht="14.25" customHeight="1" x14ac:dyDescent="0.2">
      <c r="A363" s="61"/>
    </row>
    <row r="364" spans="1:1" ht="14.25" customHeight="1" x14ac:dyDescent="0.2">
      <c r="A364" s="61"/>
    </row>
    <row r="365" spans="1:1" ht="14.25" customHeight="1" x14ac:dyDescent="0.2">
      <c r="A365" s="61"/>
    </row>
    <row r="366" spans="1:1" ht="14.25" customHeight="1" x14ac:dyDescent="0.2">
      <c r="A366" s="61"/>
    </row>
    <row r="367" spans="1:1" ht="14.25" customHeight="1" x14ac:dyDescent="0.2">
      <c r="A367" s="61"/>
    </row>
    <row r="368" spans="1:1" ht="14.25" customHeight="1" x14ac:dyDescent="0.2">
      <c r="A368" s="61"/>
    </row>
    <row r="369" spans="1:1" ht="14.25" customHeight="1" x14ac:dyDescent="0.2">
      <c r="A369" s="61"/>
    </row>
    <row r="370" spans="1:1" ht="14.25" customHeight="1" x14ac:dyDescent="0.2">
      <c r="A370" s="61"/>
    </row>
    <row r="371" spans="1:1" ht="14.25" customHeight="1" x14ac:dyDescent="0.2">
      <c r="A371" s="61"/>
    </row>
    <row r="372" spans="1:1" ht="14.25" customHeight="1" x14ac:dyDescent="0.2">
      <c r="A372" s="61"/>
    </row>
    <row r="373" spans="1:1" ht="14.25" customHeight="1" x14ac:dyDescent="0.2">
      <c r="A373" s="61"/>
    </row>
    <row r="374" spans="1:1" ht="14.25" customHeight="1" x14ac:dyDescent="0.2">
      <c r="A374" s="61"/>
    </row>
    <row r="375" spans="1:1" ht="14.25" customHeight="1" x14ac:dyDescent="0.2">
      <c r="A375" s="61"/>
    </row>
    <row r="376" spans="1:1" ht="14.25" customHeight="1" x14ac:dyDescent="0.2">
      <c r="A376" s="61"/>
    </row>
    <row r="377" spans="1:1" ht="14.25" customHeight="1" x14ac:dyDescent="0.2">
      <c r="A377" s="61"/>
    </row>
    <row r="378" spans="1:1" ht="14.25" customHeight="1" x14ac:dyDescent="0.2">
      <c r="A378" s="61"/>
    </row>
    <row r="379" spans="1:1" ht="14.25" customHeight="1" x14ac:dyDescent="0.2">
      <c r="A379" s="61"/>
    </row>
    <row r="380" spans="1:1" ht="14.25" customHeight="1" x14ac:dyDescent="0.2">
      <c r="A380" s="61"/>
    </row>
    <row r="381" spans="1:1" ht="14.25" customHeight="1" x14ac:dyDescent="0.2">
      <c r="A381" s="61"/>
    </row>
    <row r="382" spans="1:1" ht="14.25" customHeight="1" x14ac:dyDescent="0.2">
      <c r="A382" s="61"/>
    </row>
    <row r="383" spans="1:1" ht="14.25" customHeight="1" x14ac:dyDescent="0.2">
      <c r="A383" s="61"/>
    </row>
    <row r="384" spans="1:1" ht="14.25" customHeight="1" x14ac:dyDescent="0.2">
      <c r="A384" s="61"/>
    </row>
    <row r="385" spans="1:1" ht="14.25" customHeight="1" x14ac:dyDescent="0.2">
      <c r="A385" s="61"/>
    </row>
    <row r="386" spans="1:1" ht="14.25" customHeight="1" x14ac:dyDescent="0.2">
      <c r="A386" s="61"/>
    </row>
    <row r="387" spans="1:1" ht="14.25" customHeight="1" x14ac:dyDescent="0.2">
      <c r="A387" s="61"/>
    </row>
    <row r="388" spans="1:1" ht="14.25" customHeight="1" x14ac:dyDescent="0.2">
      <c r="A388" s="61"/>
    </row>
    <row r="389" spans="1:1" ht="14.25" customHeight="1" x14ac:dyDescent="0.2">
      <c r="A389" s="61"/>
    </row>
    <row r="390" spans="1:1" ht="14.25" customHeight="1" x14ac:dyDescent="0.2">
      <c r="A390" s="61"/>
    </row>
    <row r="391" spans="1:1" ht="14.25" customHeight="1" x14ac:dyDescent="0.2">
      <c r="A391" s="61"/>
    </row>
    <row r="392" spans="1:1" ht="14.25" customHeight="1" x14ac:dyDescent="0.2">
      <c r="A392" s="61"/>
    </row>
    <row r="393" spans="1:1" ht="14.25" customHeight="1" x14ac:dyDescent="0.2">
      <c r="A393" s="61"/>
    </row>
    <row r="394" spans="1:1" ht="14.25" customHeight="1" x14ac:dyDescent="0.2">
      <c r="A394" s="61"/>
    </row>
    <row r="395" spans="1:1" ht="14.25" customHeight="1" x14ac:dyDescent="0.2">
      <c r="A395" s="61"/>
    </row>
    <row r="396" spans="1:1" ht="14.25" customHeight="1" x14ac:dyDescent="0.2">
      <c r="A396" s="61"/>
    </row>
    <row r="397" spans="1:1" ht="14.25" customHeight="1" x14ac:dyDescent="0.2">
      <c r="A397" s="61"/>
    </row>
    <row r="398" spans="1:1" ht="14.25" customHeight="1" x14ac:dyDescent="0.2">
      <c r="A398" s="61"/>
    </row>
    <row r="399" spans="1:1" ht="14.25" customHeight="1" x14ac:dyDescent="0.2">
      <c r="A399" s="61"/>
    </row>
    <row r="400" spans="1:1" ht="14.25" customHeight="1" x14ac:dyDescent="0.2">
      <c r="A400" s="61"/>
    </row>
    <row r="401" spans="1:1" ht="14.25" customHeight="1" x14ac:dyDescent="0.2">
      <c r="A401" s="61"/>
    </row>
    <row r="402" spans="1:1" ht="14.25" customHeight="1" x14ac:dyDescent="0.2">
      <c r="A402" s="61"/>
    </row>
    <row r="403" spans="1:1" ht="14.25" customHeight="1" x14ac:dyDescent="0.2">
      <c r="A403" s="61"/>
    </row>
    <row r="404" spans="1:1" ht="14.25" customHeight="1" x14ac:dyDescent="0.2">
      <c r="A404" s="61"/>
    </row>
    <row r="405" spans="1:1" ht="14.25" customHeight="1" x14ac:dyDescent="0.2">
      <c r="A405" s="61"/>
    </row>
    <row r="406" spans="1:1" ht="14.25" customHeight="1" x14ac:dyDescent="0.2">
      <c r="A406" s="61"/>
    </row>
    <row r="407" spans="1:1" ht="14.25" customHeight="1" x14ac:dyDescent="0.2">
      <c r="A407" s="61"/>
    </row>
    <row r="408" spans="1:1" ht="14.25" customHeight="1" x14ac:dyDescent="0.2">
      <c r="A408" s="61"/>
    </row>
    <row r="409" spans="1:1" ht="14.25" customHeight="1" x14ac:dyDescent="0.2">
      <c r="A409" s="61"/>
    </row>
    <row r="410" spans="1:1" ht="14.25" customHeight="1" x14ac:dyDescent="0.2">
      <c r="A410" s="61"/>
    </row>
    <row r="411" spans="1:1" ht="14.25" customHeight="1" x14ac:dyDescent="0.2">
      <c r="A411" s="61"/>
    </row>
    <row r="412" spans="1:1" ht="14.25" customHeight="1" x14ac:dyDescent="0.2">
      <c r="A412" s="61"/>
    </row>
    <row r="413" spans="1:1" ht="14.25" customHeight="1" x14ac:dyDescent="0.2">
      <c r="A413" s="61"/>
    </row>
    <row r="414" spans="1:1" ht="14.25" customHeight="1" x14ac:dyDescent="0.2">
      <c r="A414" s="61"/>
    </row>
    <row r="415" spans="1:1" ht="14.25" customHeight="1" x14ac:dyDescent="0.2">
      <c r="A415" s="61"/>
    </row>
    <row r="416" spans="1:1" ht="14.25" customHeight="1" x14ac:dyDescent="0.2">
      <c r="A416" s="61"/>
    </row>
    <row r="417" spans="1:1" ht="14.25" customHeight="1" x14ac:dyDescent="0.2">
      <c r="A417" s="61"/>
    </row>
    <row r="418" spans="1:1" ht="14.25" customHeight="1" x14ac:dyDescent="0.2">
      <c r="A418" s="61"/>
    </row>
    <row r="419" spans="1:1" ht="14.25" customHeight="1" x14ac:dyDescent="0.2">
      <c r="A419" s="61"/>
    </row>
    <row r="420" spans="1:1" ht="14.25" customHeight="1" x14ac:dyDescent="0.2">
      <c r="A420" s="61"/>
    </row>
    <row r="421" spans="1:1" ht="14.25" customHeight="1" x14ac:dyDescent="0.2">
      <c r="A421" s="61"/>
    </row>
    <row r="422" spans="1:1" ht="14.25" customHeight="1" x14ac:dyDescent="0.2">
      <c r="A422" s="61"/>
    </row>
    <row r="423" spans="1:1" ht="14.25" customHeight="1" x14ac:dyDescent="0.2">
      <c r="A423" s="61"/>
    </row>
    <row r="424" spans="1:1" ht="14.25" customHeight="1" x14ac:dyDescent="0.2">
      <c r="A424" s="61"/>
    </row>
    <row r="425" spans="1:1" ht="14.25" customHeight="1" x14ac:dyDescent="0.2">
      <c r="A425" s="61"/>
    </row>
    <row r="426" spans="1:1" ht="14.25" customHeight="1" x14ac:dyDescent="0.2">
      <c r="A426" s="61"/>
    </row>
    <row r="427" spans="1:1" ht="14.25" customHeight="1" x14ac:dyDescent="0.2">
      <c r="A427" s="61"/>
    </row>
    <row r="428" spans="1:1" ht="14.25" customHeight="1" x14ac:dyDescent="0.2">
      <c r="A428" s="61"/>
    </row>
    <row r="429" spans="1:1" ht="14.25" customHeight="1" x14ac:dyDescent="0.2">
      <c r="A429" s="61"/>
    </row>
    <row r="430" spans="1:1" ht="14.25" customHeight="1" x14ac:dyDescent="0.2">
      <c r="A430" s="61"/>
    </row>
    <row r="431" spans="1:1" ht="14.25" customHeight="1" x14ac:dyDescent="0.2">
      <c r="A431" s="61"/>
    </row>
    <row r="432" spans="1:1" ht="14.25" customHeight="1" x14ac:dyDescent="0.2">
      <c r="A432" s="61"/>
    </row>
    <row r="433" spans="1:1" ht="14.25" customHeight="1" x14ac:dyDescent="0.2">
      <c r="A433" s="61"/>
    </row>
    <row r="434" spans="1:1" ht="14.25" customHeight="1" x14ac:dyDescent="0.2">
      <c r="A434" s="61"/>
    </row>
    <row r="435" spans="1:1" ht="14.25" customHeight="1" x14ac:dyDescent="0.2">
      <c r="A435" s="61"/>
    </row>
    <row r="436" spans="1:1" ht="14.25" customHeight="1" x14ac:dyDescent="0.2">
      <c r="A436" s="61"/>
    </row>
    <row r="437" spans="1:1" ht="14.25" customHeight="1" x14ac:dyDescent="0.2">
      <c r="A437" s="61"/>
    </row>
    <row r="438" spans="1:1" ht="14.25" customHeight="1" x14ac:dyDescent="0.2">
      <c r="A438" s="61"/>
    </row>
    <row r="439" spans="1:1" ht="14.25" customHeight="1" x14ac:dyDescent="0.2">
      <c r="A439" s="61"/>
    </row>
    <row r="440" spans="1:1" ht="14.25" customHeight="1" x14ac:dyDescent="0.2">
      <c r="A440" s="61"/>
    </row>
    <row r="441" spans="1:1" ht="14.25" customHeight="1" x14ac:dyDescent="0.2">
      <c r="A441" s="61"/>
    </row>
    <row r="442" spans="1:1" ht="14.25" customHeight="1" x14ac:dyDescent="0.2">
      <c r="A442" s="61"/>
    </row>
    <row r="443" spans="1:1" ht="14.25" customHeight="1" x14ac:dyDescent="0.2">
      <c r="A443" s="61"/>
    </row>
    <row r="444" spans="1:1" ht="14.25" customHeight="1" x14ac:dyDescent="0.2">
      <c r="A444" s="61"/>
    </row>
    <row r="445" spans="1:1" ht="14.25" customHeight="1" x14ac:dyDescent="0.2">
      <c r="A445" s="61"/>
    </row>
    <row r="446" spans="1:1" ht="14.25" customHeight="1" x14ac:dyDescent="0.2">
      <c r="A446" s="61"/>
    </row>
    <row r="447" spans="1:1" ht="14.25" customHeight="1" x14ac:dyDescent="0.2">
      <c r="A447" s="61"/>
    </row>
    <row r="448" spans="1:1" ht="14.25" customHeight="1" x14ac:dyDescent="0.2">
      <c r="A448" s="61"/>
    </row>
    <row r="449" spans="1:1" ht="14.25" customHeight="1" x14ac:dyDescent="0.2">
      <c r="A449" s="61"/>
    </row>
    <row r="450" spans="1:1" ht="14.25" customHeight="1" x14ac:dyDescent="0.2">
      <c r="A450" s="61"/>
    </row>
    <row r="451" spans="1:1" ht="14.25" customHeight="1" x14ac:dyDescent="0.2">
      <c r="A451" s="61"/>
    </row>
    <row r="452" spans="1:1" ht="14.25" customHeight="1" x14ac:dyDescent="0.2">
      <c r="A452" s="61"/>
    </row>
    <row r="453" spans="1:1" ht="14.25" customHeight="1" x14ac:dyDescent="0.2">
      <c r="A453" s="61"/>
    </row>
    <row r="454" spans="1:1" ht="14.25" customHeight="1" x14ac:dyDescent="0.2">
      <c r="A454" s="61"/>
    </row>
    <row r="455" spans="1:1" ht="14.25" customHeight="1" x14ac:dyDescent="0.2">
      <c r="A455" s="61"/>
    </row>
    <row r="456" spans="1:1" ht="14.25" customHeight="1" x14ac:dyDescent="0.2">
      <c r="A456" s="61"/>
    </row>
    <row r="457" spans="1:1" ht="14.25" customHeight="1" x14ac:dyDescent="0.2">
      <c r="A457" s="61"/>
    </row>
    <row r="458" spans="1:1" ht="14.25" customHeight="1" x14ac:dyDescent="0.2">
      <c r="A458" s="61"/>
    </row>
    <row r="459" spans="1:1" ht="14.25" customHeight="1" x14ac:dyDescent="0.2">
      <c r="A459" s="61"/>
    </row>
    <row r="460" spans="1:1" ht="14.25" customHeight="1" x14ac:dyDescent="0.2">
      <c r="A460" s="61"/>
    </row>
    <row r="461" spans="1:1" ht="14.25" customHeight="1" x14ac:dyDescent="0.2">
      <c r="A461" s="61"/>
    </row>
    <row r="462" spans="1:1" ht="14.25" customHeight="1" x14ac:dyDescent="0.2">
      <c r="A462" s="61"/>
    </row>
    <row r="463" spans="1:1" ht="14.25" customHeight="1" x14ac:dyDescent="0.2">
      <c r="A463" s="61"/>
    </row>
    <row r="464" spans="1:1" ht="14.25" customHeight="1" x14ac:dyDescent="0.2">
      <c r="A464" s="61"/>
    </row>
    <row r="465" spans="1:1" ht="14.25" customHeight="1" x14ac:dyDescent="0.2">
      <c r="A465" s="61"/>
    </row>
    <row r="466" spans="1:1" ht="14.25" customHeight="1" x14ac:dyDescent="0.2">
      <c r="A466" s="61"/>
    </row>
    <row r="467" spans="1:1" ht="14.25" customHeight="1" x14ac:dyDescent="0.2">
      <c r="A467" s="61"/>
    </row>
    <row r="468" spans="1:1" ht="14.25" customHeight="1" x14ac:dyDescent="0.2">
      <c r="A468" s="61"/>
    </row>
    <row r="469" spans="1:1" ht="14.25" customHeight="1" x14ac:dyDescent="0.2">
      <c r="A469" s="61"/>
    </row>
    <row r="470" spans="1:1" ht="14.25" customHeight="1" x14ac:dyDescent="0.2">
      <c r="A470" s="61"/>
    </row>
    <row r="471" spans="1:1" ht="14.25" customHeight="1" x14ac:dyDescent="0.2">
      <c r="A471" s="61"/>
    </row>
    <row r="472" spans="1:1" ht="14.25" customHeight="1" x14ac:dyDescent="0.2">
      <c r="A472" s="61"/>
    </row>
    <row r="473" spans="1:1" ht="14.25" customHeight="1" x14ac:dyDescent="0.2">
      <c r="A473" s="61"/>
    </row>
    <row r="474" spans="1:1" ht="14.25" customHeight="1" x14ac:dyDescent="0.2">
      <c r="A474" s="61"/>
    </row>
    <row r="475" spans="1:1" ht="14.25" customHeight="1" x14ac:dyDescent="0.2">
      <c r="A475" s="61"/>
    </row>
    <row r="476" spans="1:1" ht="14.25" customHeight="1" x14ac:dyDescent="0.2">
      <c r="A476" s="61"/>
    </row>
    <row r="477" spans="1:1" ht="14.25" customHeight="1" x14ac:dyDescent="0.2">
      <c r="A477" s="61"/>
    </row>
    <row r="478" spans="1:1" ht="14.25" customHeight="1" x14ac:dyDescent="0.2">
      <c r="A478" s="61"/>
    </row>
    <row r="479" spans="1:1" ht="14.25" customHeight="1" x14ac:dyDescent="0.2">
      <c r="A479" s="61"/>
    </row>
    <row r="480" spans="1:1" ht="14.25" customHeight="1" x14ac:dyDescent="0.2">
      <c r="A480" s="61"/>
    </row>
    <row r="481" spans="1:1" ht="14.25" customHeight="1" x14ac:dyDescent="0.2">
      <c r="A481" s="61"/>
    </row>
    <row r="482" spans="1:1" ht="14.25" customHeight="1" x14ac:dyDescent="0.2">
      <c r="A482" s="61"/>
    </row>
    <row r="483" spans="1:1" ht="14.25" customHeight="1" x14ac:dyDescent="0.2">
      <c r="A483" s="61"/>
    </row>
    <row r="484" spans="1:1" ht="14.25" customHeight="1" x14ac:dyDescent="0.2">
      <c r="A484" s="61"/>
    </row>
    <row r="485" spans="1:1" ht="14.25" customHeight="1" x14ac:dyDescent="0.2">
      <c r="A485" s="61"/>
    </row>
    <row r="486" spans="1:1" ht="14.25" customHeight="1" x14ac:dyDescent="0.2">
      <c r="A486" s="61"/>
    </row>
    <row r="487" spans="1:1" ht="14.25" customHeight="1" x14ac:dyDescent="0.2">
      <c r="A487" s="61"/>
    </row>
    <row r="488" spans="1:1" ht="14.25" customHeight="1" x14ac:dyDescent="0.2">
      <c r="A488" s="61"/>
    </row>
    <row r="489" spans="1:1" ht="14.25" customHeight="1" x14ac:dyDescent="0.2">
      <c r="A489" s="61"/>
    </row>
    <row r="490" spans="1:1" ht="14.25" customHeight="1" x14ac:dyDescent="0.2">
      <c r="A490" s="61"/>
    </row>
    <row r="491" spans="1:1" ht="14.25" customHeight="1" x14ac:dyDescent="0.2">
      <c r="A491" s="61"/>
    </row>
    <row r="492" spans="1:1" ht="14.25" customHeight="1" x14ac:dyDescent="0.2">
      <c r="A492" s="61"/>
    </row>
    <row r="493" spans="1:1" ht="14.25" customHeight="1" x14ac:dyDescent="0.2">
      <c r="A493" s="61"/>
    </row>
    <row r="494" spans="1:1" ht="14.25" customHeight="1" x14ac:dyDescent="0.2">
      <c r="A494" s="61"/>
    </row>
    <row r="495" spans="1:1" ht="14.25" customHeight="1" x14ac:dyDescent="0.2">
      <c r="A495" s="61"/>
    </row>
    <row r="496" spans="1:1" ht="14.25" customHeight="1" x14ac:dyDescent="0.2">
      <c r="A496" s="61"/>
    </row>
    <row r="497" spans="1:1" ht="14.25" customHeight="1" x14ac:dyDescent="0.2">
      <c r="A497" s="61"/>
    </row>
    <row r="498" spans="1:1" ht="14.25" customHeight="1" x14ac:dyDescent="0.2">
      <c r="A498" s="61"/>
    </row>
    <row r="499" spans="1:1" ht="14.25" customHeight="1" x14ac:dyDescent="0.2">
      <c r="A499" s="61"/>
    </row>
    <row r="500" spans="1:1" ht="14.25" customHeight="1" x14ac:dyDescent="0.2">
      <c r="A500" s="61"/>
    </row>
    <row r="501" spans="1:1" ht="14.25" customHeight="1" x14ac:dyDescent="0.2">
      <c r="A501" s="61"/>
    </row>
    <row r="502" spans="1:1" ht="14.25" customHeight="1" x14ac:dyDescent="0.2">
      <c r="A502" s="61"/>
    </row>
    <row r="503" spans="1:1" ht="14.25" customHeight="1" x14ac:dyDescent="0.2">
      <c r="A503" s="61"/>
    </row>
    <row r="504" spans="1:1" ht="14.25" customHeight="1" x14ac:dyDescent="0.2">
      <c r="A504" s="61"/>
    </row>
    <row r="505" spans="1:1" ht="14.25" customHeight="1" x14ac:dyDescent="0.2">
      <c r="A505" s="61"/>
    </row>
    <row r="506" spans="1:1" ht="14.25" customHeight="1" x14ac:dyDescent="0.2">
      <c r="A506" s="61"/>
    </row>
    <row r="507" spans="1:1" ht="14.25" customHeight="1" x14ac:dyDescent="0.2">
      <c r="A507" s="61"/>
    </row>
    <row r="508" spans="1:1" ht="14.25" customHeight="1" x14ac:dyDescent="0.2">
      <c r="A508" s="61"/>
    </row>
    <row r="509" spans="1:1" ht="14.25" customHeight="1" x14ac:dyDescent="0.2">
      <c r="A509" s="61"/>
    </row>
    <row r="510" spans="1:1" ht="14.25" customHeight="1" x14ac:dyDescent="0.2">
      <c r="A510" s="61"/>
    </row>
    <row r="511" spans="1:1" ht="14.25" customHeight="1" x14ac:dyDescent="0.2">
      <c r="A511" s="61"/>
    </row>
    <row r="512" spans="1:1" ht="14.25" customHeight="1" x14ac:dyDescent="0.2">
      <c r="A512" s="61"/>
    </row>
    <row r="513" spans="1:1" ht="14.25" customHeight="1" x14ac:dyDescent="0.2">
      <c r="A513" s="61"/>
    </row>
    <row r="514" spans="1:1" ht="14.25" customHeight="1" x14ac:dyDescent="0.2">
      <c r="A514" s="61"/>
    </row>
    <row r="515" spans="1:1" ht="14.25" customHeight="1" x14ac:dyDescent="0.2">
      <c r="A515" s="61"/>
    </row>
    <row r="516" spans="1:1" ht="14.25" customHeight="1" x14ac:dyDescent="0.2">
      <c r="A516" s="61"/>
    </row>
    <row r="517" spans="1:1" ht="14.25" customHeight="1" x14ac:dyDescent="0.2">
      <c r="A517" s="61"/>
    </row>
    <row r="518" spans="1:1" ht="14.25" customHeight="1" x14ac:dyDescent="0.2">
      <c r="A518" s="61"/>
    </row>
    <row r="519" spans="1:1" ht="14.25" customHeight="1" x14ac:dyDescent="0.2">
      <c r="A519" s="61"/>
    </row>
    <row r="520" spans="1:1" ht="14.25" customHeight="1" x14ac:dyDescent="0.2">
      <c r="A520" s="61"/>
    </row>
    <row r="521" spans="1:1" ht="14.25" customHeight="1" x14ac:dyDescent="0.2">
      <c r="A521" s="61"/>
    </row>
    <row r="522" spans="1:1" ht="14.25" customHeight="1" x14ac:dyDescent="0.2">
      <c r="A522" s="61"/>
    </row>
    <row r="523" spans="1:1" ht="14.25" customHeight="1" x14ac:dyDescent="0.2">
      <c r="A523" s="61"/>
    </row>
    <row r="524" spans="1:1" ht="14.25" customHeight="1" x14ac:dyDescent="0.2">
      <c r="A524" s="61"/>
    </row>
    <row r="525" spans="1:1" ht="14.25" customHeight="1" x14ac:dyDescent="0.2">
      <c r="A525" s="61"/>
    </row>
    <row r="526" spans="1:1" ht="14.25" customHeight="1" x14ac:dyDescent="0.2">
      <c r="A526" s="61"/>
    </row>
    <row r="527" spans="1:1" ht="14.25" customHeight="1" x14ac:dyDescent="0.2">
      <c r="A527" s="61"/>
    </row>
    <row r="528" spans="1:1" ht="14.25" customHeight="1" x14ac:dyDescent="0.2">
      <c r="A528" s="61"/>
    </row>
    <row r="529" spans="1:1" ht="14.25" customHeight="1" x14ac:dyDescent="0.2">
      <c r="A529" s="61"/>
    </row>
    <row r="530" spans="1:1" ht="14.25" customHeight="1" x14ac:dyDescent="0.2">
      <c r="A530" s="61"/>
    </row>
    <row r="531" spans="1:1" ht="14.25" customHeight="1" x14ac:dyDescent="0.2">
      <c r="A531" s="61"/>
    </row>
    <row r="532" spans="1:1" ht="14.25" customHeight="1" x14ac:dyDescent="0.2">
      <c r="A532" s="61"/>
    </row>
    <row r="533" spans="1:1" ht="14.25" customHeight="1" x14ac:dyDescent="0.2">
      <c r="A533" s="61"/>
    </row>
    <row r="534" spans="1:1" ht="14.25" customHeight="1" x14ac:dyDescent="0.2">
      <c r="A534" s="61"/>
    </row>
    <row r="535" spans="1:1" ht="14.25" customHeight="1" x14ac:dyDescent="0.2">
      <c r="A535" s="61"/>
    </row>
    <row r="536" spans="1:1" ht="14.25" customHeight="1" x14ac:dyDescent="0.2">
      <c r="A536" s="61"/>
    </row>
    <row r="537" spans="1:1" ht="14.25" customHeight="1" x14ac:dyDescent="0.2">
      <c r="A537" s="61"/>
    </row>
    <row r="538" spans="1:1" ht="14.25" customHeight="1" x14ac:dyDescent="0.2">
      <c r="A538" s="61"/>
    </row>
    <row r="539" spans="1:1" ht="14.25" customHeight="1" x14ac:dyDescent="0.2">
      <c r="A539" s="61"/>
    </row>
    <row r="540" spans="1:1" ht="14.25" customHeight="1" x14ac:dyDescent="0.2">
      <c r="A540" s="61"/>
    </row>
    <row r="541" spans="1:1" ht="14.25" customHeight="1" x14ac:dyDescent="0.2">
      <c r="A541" s="61"/>
    </row>
    <row r="542" spans="1:1" ht="14.25" customHeight="1" x14ac:dyDescent="0.2">
      <c r="A542" s="61"/>
    </row>
    <row r="543" spans="1:1" ht="14.25" customHeight="1" x14ac:dyDescent="0.2">
      <c r="A543" s="61"/>
    </row>
    <row r="544" spans="1:1" ht="14.25" customHeight="1" x14ac:dyDescent="0.2">
      <c r="A544" s="61"/>
    </row>
    <row r="545" spans="1:1" ht="14.25" customHeight="1" x14ac:dyDescent="0.2">
      <c r="A545" s="61"/>
    </row>
    <row r="546" spans="1:1" ht="14.25" customHeight="1" x14ac:dyDescent="0.2">
      <c r="A546" s="61"/>
    </row>
    <row r="547" spans="1:1" ht="14.25" customHeight="1" x14ac:dyDescent="0.2">
      <c r="A547" s="61"/>
    </row>
    <row r="548" spans="1:1" ht="14.25" customHeight="1" x14ac:dyDescent="0.2">
      <c r="A548" s="61"/>
    </row>
    <row r="549" spans="1:1" ht="14.25" customHeight="1" x14ac:dyDescent="0.2">
      <c r="A549" s="61"/>
    </row>
    <row r="550" spans="1:1" ht="14.25" customHeight="1" x14ac:dyDescent="0.2">
      <c r="A550" s="61"/>
    </row>
    <row r="551" spans="1:1" ht="14.25" customHeight="1" x14ac:dyDescent="0.2">
      <c r="A551" s="61"/>
    </row>
    <row r="552" spans="1:1" ht="14.25" customHeight="1" x14ac:dyDescent="0.2">
      <c r="A552" s="61"/>
    </row>
    <row r="553" spans="1:1" ht="14.25" customHeight="1" x14ac:dyDescent="0.2">
      <c r="A553" s="61"/>
    </row>
    <row r="554" spans="1:1" ht="14.25" customHeight="1" x14ac:dyDescent="0.2">
      <c r="A554" s="61"/>
    </row>
    <row r="555" spans="1:1" ht="14.25" customHeight="1" x14ac:dyDescent="0.2">
      <c r="A555" s="61"/>
    </row>
    <row r="556" spans="1:1" ht="14.25" customHeight="1" x14ac:dyDescent="0.2">
      <c r="A556" s="61"/>
    </row>
    <row r="557" spans="1:1" ht="14.25" customHeight="1" x14ac:dyDescent="0.2">
      <c r="A557" s="61"/>
    </row>
    <row r="558" spans="1:1" ht="14.25" customHeight="1" x14ac:dyDescent="0.2">
      <c r="A558" s="61"/>
    </row>
    <row r="559" spans="1:1" ht="14.25" customHeight="1" x14ac:dyDescent="0.2">
      <c r="A559" s="61"/>
    </row>
    <row r="560" spans="1:1" ht="14.25" customHeight="1" x14ac:dyDescent="0.2">
      <c r="A560" s="61"/>
    </row>
    <row r="561" spans="1:1" ht="14.25" customHeight="1" x14ac:dyDescent="0.2">
      <c r="A561" s="61"/>
    </row>
    <row r="562" spans="1:1" ht="14.25" customHeight="1" x14ac:dyDescent="0.2">
      <c r="A562" s="61"/>
    </row>
    <row r="563" spans="1:1" ht="14.25" customHeight="1" x14ac:dyDescent="0.2">
      <c r="A563" s="61"/>
    </row>
    <row r="564" spans="1:1" ht="14.25" customHeight="1" x14ac:dyDescent="0.2">
      <c r="A564" s="61"/>
    </row>
    <row r="565" spans="1:1" ht="14.25" customHeight="1" x14ac:dyDescent="0.2">
      <c r="A565" s="61"/>
    </row>
    <row r="566" spans="1:1" ht="14.25" customHeight="1" x14ac:dyDescent="0.2">
      <c r="A566" s="61"/>
    </row>
    <row r="567" spans="1:1" ht="14.25" customHeight="1" x14ac:dyDescent="0.2">
      <c r="A567" s="61"/>
    </row>
    <row r="568" spans="1:1" ht="14.25" customHeight="1" x14ac:dyDescent="0.2">
      <c r="A568" s="61"/>
    </row>
    <row r="569" spans="1:1" ht="14.25" customHeight="1" x14ac:dyDescent="0.2">
      <c r="A569" s="61"/>
    </row>
    <row r="570" spans="1:1" ht="14.25" customHeight="1" x14ac:dyDescent="0.2">
      <c r="A570" s="61"/>
    </row>
    <row r="571" spans="1:1" ht="14.25" customHeight="1" x14ac:dyDescent="0.2">
      <c r="A571" s="61"/>
    </row>
    <row r="572" spans="1:1" ht="14.25" customHeight="1" x14ac:dyDescent="0.2">
      <c r="A572" s="61"/>
    </row>
    <row r="573" spans="1:1" ht="14.25" customHeight="1" x14ac:dyDescent="0.2">
      <c r="A573" s="61"/>
    </row>
    <row r="574" spans="1:1" ht="14.25" customHeight="1" x14ac:dyDescent="0.2">
      <c r="A574" s="61"/>
    </row>
    <row r="575" spans="1:1" ht="14.25" customHeight="1" x14ac:dyDescent="0.2">
      <c r="A575" s="61"/>
    </row>
    <row r="576" spans="1:1" ht="14.25" customHeight="1" x14ac:dyDescent="0.2">
      <c r="A576" s="61"/>
    </row>
    <row r="577" spans="1:1" ht="14.25" customHeight="1" x14ac:dyDescent="0.2">
      <c r="A577" s="61"/>
    </row>
    <row r="578" spans="1:1" ht="14.25" customHeight="1" x14ac:dyDescent="0.2">
      <c r="A578" s="61"/>
    </row>
    <row r="579" spans="1:1" ht="14.25" customHeight="1" x14ac:dyDescent="0.2">
      <c r="A579" s="61"/>
    </row>
    <row r="580" spans="1:1" ht="14.25" customHeight="1" x14ac:dyDescent="0.2">
      <c r="A580" s="61"/>
    </row>
    <row r="581" spans="1:1" ht="14.25" customHeight="1" x14ac:dyDescent="0.2">
      <c r="A581" s="61"/>
    </row>
    <row r="582" spans="1:1" ht="14.25" customHeight="1" x14ac:dyDescent="0.2">
      <c r="A582" s="61"/>
    </row>
    <row r="583" spans="1:1" ht="14.25" customHeight="1" x14ac:dyDescent="0.2">
      <c r="A583" s="61"/>
    </row>
    <row r="584" spans="1:1" ht="14.25" customHeight="1" x14ac:dyDescent="0.2">
      <c r="A584" s="61"/>
    </row>
    <row r="585" spans="1:1" ht="14.25" customHeight="1" x14ac:dyDescent="0.2">
      <c r="A585" s="61"/>
    </row>
    <row r="586" spans="1:1" ht="14.25" customHeight="1" x14ac:dyDescent="0.2">
      <c r="A586" s="61"/>
    </row>
    <row r="587" spans="1:1" ht="14.25" customHeight="1" x14ac:dyDescent="0.2">
      <c r="A587" s="61"/>
    </row>
    <row r="588" spans="1:1" ht="14.25" customHeight="1" x14ac:dyDescent="0.2">
      <c r="A588" s="61"/>
    </row>
    <row r="589" spans="1:1" ht="14.25" customHeight="1" x14ac:dyDescent="0.2">
      <c r="A589" s="61"/>
    </row>
    <row r="590" spans="1:1" ht="14.25" customHeight="1" x14ac:dyDescent="0.2">
      <c r="A590" s="61"/>
    </row>
    <row r="591" spans="1:1" ht="14.25" customHeight="1" x14ac:dyDescent="0.2">
      <c r="A591" s="61"/>
    </row>
    <row r="592" spans="1:1" ht="14.25" customHeight="1" x14ac:dyDescent="0.2">
      <c r="A592" s="61"/>
    </row>
    <row r="593" spans="1:1" ht="14.25" customHeight="1" x14ac:dyDescent="0.2">
      <c r="A593" s="61"/>
    </row>
    <row r="594" spans="1:1" ht="14.25" customHeight="1" x14ac:dyDescent="0.2">
      <c r="A594" s="61"/>
    </row>
    <row r="595" spans="1:1" ht="14.25" customHeight="1" x14ac:dyDescent="0.2">
      <c r="A595" s="61"/>
    </row>
    <row r="596" spans="1:1" ht="14.25" customHeight="1" x14ac:dyDescent="0.2">
      <c r="A596" s="61"/>
    </row>
    <row r="597" spans="1:1" ht="14.25" customHeight="1" x14ac:dyDescent="0.2">
      <c r="A597" s="61"/>
    </row>
    <row r="598" spans="1:1" ht="14.25" customHeight="1" x14ac:dyDescent="0.2">
      <c r="A598" s="61"/>
    </row>
    <row r="599" spans="1:1" ht="14.25" customHeight="1" x14ac:dyDescent="0.2">
      <c r="A599" s="61"/>
    </row>
    <row r="600" spans="1:1" ht="14.25" customHeight="1" x14ac:dyDescent="0.2">
      <c r="A600" s="61"/>
    </row>
    <row r="601" spans="1:1" ht="14.25" customHeight="1" x14ac:dyDescent="0.2">
      <c r="A601" s="61"/>
    </row>
    <row r="602" spans="1:1" ht="14.25" customHeight="1" x14ac:dyDescent="0.2">
      <c r="A602" s="61"/>
    </row>
    <row r="603" spans="1:1" ht="14.25" customHeight="1" x14ac:dyDescent="0.2">
      <c r="A603" s="61"/>
    </row>
    <row r="604" spans="1:1" ht="14.25" customHeight="1" x14ac:dyDescent="0.2">
      <c r="A604" s="61"/>
    </row>
    <row r="605" spans="1:1" ht="14.25" customHeight="1" x14ac:dyDescent="0.2">
      <c r="A605" s="61"/>
    </row>
    <row r="606" spans="1:1" ht="14.25" customHeight="1" x14ac:dyDescent="0.2">
      <c r="A606" s="61"/>
    </row>
    <row r="607" spans="1:1" ht="14.25" customHeight="1" x14ac:dyDescent="0.2">
      <c r="A607" s="61"/>
    </row>
    <row r="608" spans="1:1" ht="14.25" customHeight="1" x14ac:dyDescent="0.2">
      <c r="A608" s="61"/>
    </row>
    <row r="609" spans="1:1" ht="14.25" customHeight="1" x14ac:dyDescent="0.2">
      <c r="A609" s="61"/>
    </row>
    <row r="610" spans="1:1" ht="14.25" customHeight="1" x14ac:dyDescent="0.2">
      <c r="A610" s="61"/>
    </row>
    <row r="611" spans="1:1" ht="14.25" customHeight="1" x14ac:dyDescent="0.2">
      <c r="A611" s="61"/>
    </row>
    <row r="612" spans="1:1" ht="14.25" customHeight="1" x14ac:dyDescent="0.2">
      <c r="A612" s="61"/>
    </row>
    <row r="613" spans="1:1" ht="14.25" customHeight="1" x14ac:dyDescent="0.2">
      <c r="A613" s="61"/>
    </row>
    <row r="614" spans="1:1" ht="14.25" customHeight="1" x14ac:dyDescent="0.2">
      <c r="A614" s="61"/>
    </row>
    <row r="615" spans="1:1" ht="14.25" customHeight="1" x14ac:dyDescent="0.2">
      <c r="A615" s="61"/>
    </row>
    <row r="616" spans="1:1" ht="14.25" customHeight="1" x14ac:dyDescent="0.2">
      <c r="A616" s="61"/>
    </row>
    <row r="617" spans="1:1" ht="14.25" customHeight="1" x14ac:dyDescent="0.2">
      <c r="A617" s="61"/>
    </row>
    <row r="618" spans="1:1" ht="14.25" customHeight="1" x14ac:dyDescent="0.2">
      <c r="A618" s="61"/>
    </row>
    <row r="619" spans="1:1" ht="14.25" customHeight="1" x14ac:dyDescent="0.2">
      <c r="A619" s="61"/>
    </row>
    <row r="620" spans="1:1" ht="14.25" customHeight="1" x14ac:dyDescent="0.2">
      <c r="A620" s="61"/>
    </row>
    <row r="621" spans="1:1" ht="14.25" customHeight="1" x14ac:dyDescent="0.2">
      <c r="A621" s="61"/>
    </row>
    <row r="622" spans="1:1" ht="14.25" customHeight="1" x14ac:dyDescent="0.2">
      <c r="A622" s="61"/>
    </row>
    <row r="623" spans="1:1" ht="14.25" customHeight="1" x14ac:dyDescent="0.2">
      <c r="A623" s="61"/>
    </row>
    <row r="624" spans="1:1" ht="14.25" customHeight="1" x14ac:dyDescent="0.2">
      <c r="A624" s="61"/>
    </row>
    <row r="625" spans="1:1" ht="14.25" customHeight="1" x14ac:dyDescent="0.2">
      <c r="A625" s="61"/>
    </row>
    <row r="626" spans="1:1" ht="14.25" customHeight="1" x14ac:dyDescent="0.2">
      <c r="A626" s="61"/>
    </row>
    <row r="627" spans="1:1" ht="14.25" customHeight="1" x14ac:dyDescent="0.2">
      <c r="A627" s="61"/>
    </row>
    <row r="628" spans="1:1" ht="14.25" customHeight="1" x14ac:dyDescent="0.2">
      <c r="A628" s="61"/>
    </row>
    <row r="629" spans="1:1" ht="14.25" customHeight="1" x14ac:dyDescent="0.2">
      <c r="A629" s="61"/>
    </row>
    <row r="630" spans="1:1" ht="14.25" customHeight="1" x14ac:dyDescent="0.2">
      <c r="A630" s="61"/>
    </row>
    <row r="631" spans="1:1" ht="14.25" customHeight="1" x14ac:dyDescent="0.2">
      <c r="A631" s="61"/>
    </row>
    <row r="632" spans="1:1" ht="14.25" customHeight="1" x14ac:dyDescent="0.2">
      <c r="A632" s="61"/>
    </row>
    <row r="633" spans="1:1" ht="14.25" customHeight="1" x14ac:dyDescent="0.2">
      <c r="A633" s="61"/>
    </row>
    <row r="634" spans="1:1" ht="14.25" customHeight="1" x14ac:dyDescent="0.2">
      <c r="A634" s="61"/>
    </row>
    <row r="635" spans="1:1" ht="14.25" customHeight="1" x14ac:dyDescent="0.2">
      <c r="A635" s="61"/>
    </row>
    <row r="636" spans="1:1" ht="14.25" customHeight="1" x14ac:dyDescent="0.2">
      <c r="A636" s="61"/>
    </row>
    <row r="637" spans="1:1" ht="14.25" customHeight="1" x14ac:dyDescent="0.2">
      <c r="A637" s="61"/>
    </row>
    <row r="638" spans="1:1" ht="14.25" customHeight="1" x14ac:dyDescent="0.2">
      <c r="A638" s="61"/>
    </row>
    <row r="639" spans="1:1" ht="14.25" customHeight="1" x14ac:dyDescent="0.2">
      <c r="A639" s="61"/>
    </row>
    <row r="640" spans="1:1" ht="14.25" customHeight="1" x14ac:dyDescent="0.2">
      <c r="A640" s="61"/>
    </row>
    <row r="641" spans="1:1" ht="14.25" customHeight="1" x14ac:dyDescent="0.2">
      <c r="A641" s="61"/>
    </row>
    <row r="642" spans="1:1" ht="14.25" customHeight="1" x14ac:dyDescent="0.2">
      <c r="A642" s="61"/>
    </row>
    <row r="643" spans="1:1" ht="14.25" customHeight="1" x14ac:dyDescent="0.2">
      <c r="A643" s="61"/>
    </row>
    <row r="644" spans="1:1" ht="14.25" customHeight="1" x14ac:dyDescent="0.2">
      <c r="A644" s="61"/>
    </row>
    <row r="645" spans="1:1" ht="14.25" customHeight="1" x14ac:dyDescent="0.2">
      <c r="A645" s="61"/>
    </row>
    <row r="646" spans="1:1" ht="14.25" customHeight="1" x14ac:dyDescent="0.2">
      <c r="A646" s="61"/>
    </row>
    <row r="647" spans="1:1" ht="14.25" customHeight="1" x14ac:dyDescent="0.2">
      <c r="A647" s="61"/>
    </row>
    <row r="648" spans="1:1" ht="14.25" customHeight="1" x14ac:dyDescent="0.2">
      <c r="A648" s="61"/>
    </row>
    <row r="649" spans="1:1" ht="14.25" customHeight="1" x14ac:dyDescent="0.2">
      <c r="A649" s="61"/>
    </row>
    <row r="650" spans="1:1" ht="14.25" customHeight="1" x14ac:dyDescent="0.2">
      <c r="A650" s="61"/>
    </row>
    <row r="651" spans="1:1" ht="14.25" customHeight="1" x14ac:dyDescent="0.2">
      <c r="A651" s="61"/>
    </row>
    <row r="652" spans="1:1" ht="14.25" customHeight="1" x14ac:dyDescent="0.2">
      <c r="A652" s="61"/>
    </row>
    <row r="653" spans="1:1" ht="14.25" customHeight="1" x14ac:dyDescent="0.2">
      <c r="A653" s="61"/>
    </row>
    <row r="654" spans="1:1" ht="14.25" customHeight="1" x14ac:dyDescent="0.2">
      <c r="A654" s="61"/>
    </row>
    <row r="655" spans="1:1" ht="14.25" customHeight="1" x14ac:dyDescent="0.2">
      <c r="A655" s="61"/>
    </row>
    <row r="656" spans="1:1" ht="14.25" customHeight="1" x14ac:dyDescent="0.2">
      <c r="A656" s="61"/>
    </row>
    <row r="657" spans="1:1" ht="14.25" customHeight="1" x14ac:dyDescent="0.2">
      <c r="A657" s="61"/>
    </row>
    <row r="658" spans="1:1" ht="14.25" customHeight="1" x14ac:dyDescent="0.2">
      <c r="A658" s="61"/>
    </row>
    <row r="659" spans="1:1" ht="14.25" customHeight="1" x14ac:dyDescent="0.2">
      <c r="A659" s="61"/>
    </row>
    <row r="660" spans="1:1" ht="14.25" customHeight="1" x14ac:dyDescent="0.2">
      <c r="A660" s="61"/>
    </row>
    <row r="661" spans="1:1" ht="14.25" customHeight="1" x14ac:dyDescent="0.2">
      <c r="A661" s="61"/>
    </row>
    <row r="662" spans="1:1" ht="14.25" customHeight="1" x14ac:dyDescent="0.2">
      <c r="A662" s="61"/>
    </row>
    <row r="663" spans="1:1" ht="14.25" customHeight="1" x14ac:dyDescent="0.2">
      <c r="A663" s="61"/>
    </row>
    <row r="664" spans="1:1" ht="14.25" customHeight="1" x14ac:dyDescent="0.2">
      <c r="A664" s="61"/>
    </row>
    <row r="665" spans="1:1" ht="14.25" customHeight="1" x14ac:dyDescent="0.2">
      <c r="A665" s="61"/>
    </row>
    <row r="666" spans="1:1" ht="14.25" customHeight="1" x14ac:dyDescent="0.2">
      <c r="A666" s="61"/>
    </row>
    <row r="667" spans="1:1" ht="14.25" customHeight="1" x14ac:dyDescent="0.2">
      <c r="A667" s="61"/>
    </row>
    <row r="668" spans="1:1" ht="14.25" customHeight="1" x14ac:dyDescent="0.2">
      <c r="A668" s="61"/>
    </row>
    <row r="669" spans="1:1" ht="14.25" customHeight="1" x14ac:dyDescent="0.2">
      <c r="A669" s="61"/>
    </row>
    <row r="670" spans="1:1" ht="14.25" customHeight="1" x14ac:dyDescent="0.2">
      <c r="A670" s="61"/>
    </row>
    <row r="671" spans="1:1" ht="14.25" customHeight="1" x14ac:dyDescent="0.2">
      <c r="A671" s="61"/>
    </row>
    <row r="672" spans="1:1" ht="14.25" customHeight="1" x14ac:dyDescent="0.2">
      <c r="A672" s="61"/>
    </row>
    <row r="673" spans="1:1" ht="14.25" customHeight="1" x14ac:dyDescent="0.2">
      <c r="A673" s="61"/>
    </row>
    <row r="674" spans="1:1" ht="14.25" customHeight="1" x14ac:dyDescent="0.2">
      <c r="A674" s="61"/>
    </row>
    <row r="675" spans="1:1" ht="14.25" customHeight="1" x14ac:dyDescent="0.2">
      <c r="A675" s="61"/>
    </row>
    <row r="676" spans="1:1" ht="14.25" customHeight="1" x14ac:dyDescent="0.2">
      <c r="A676" s="61"/>
    </row>
    <row r="677" spans="1:1" ht="14.25" customHeight="1" x14ac:dyDescent="0.2">
      <c r="A677" s="61"/>
    </row>
    <row r="678" spans="1:1" ht="14.25" customHeight="1" x14ac:dyDescent="0.2">
      <c r="A678" s="61"/>
    </row>
    <row r="679" spans="1:1" ht="14.25" customHeight="1" x14ac:dyDescent="0.2">
      <c r="A679" s="61"/>
    </row>
    <row r="680" spans="1:1" ht="14.25" customHeight="1" x14ac:dyDescent="0.2">
      <c r="A680" s="61"/>
    </row>
    <row r="681" spans="1:1" ht="14.25" customHeight="1" x14ac:dyDescent="0.2">
      <c r="A681" s="61"/>
    </row>
    <row r="682" spans="1:1" ht="14.25" customHeight="1" x14ac:dyDescent="0.2">
      <c r="A682" s="61"/>
    </row>
    <row r="683" spans="1:1" ht="14.25" customHeight="1" x14ac:dyDescent="0.2">
      <c r="A683" s="61"/>
    </row>
    <row r="684" spans="1:1" ht="14.25" customHeight="1" x14ac:dyDescent="0.2">
      <c r="A684" s="61"/>
    </row>
    <row r="685" spans="1:1" ht="14.25" customHeight="1" x14ac:dyDescent="0.2">
      <c r="A685" s="61"/>
    </row>
    <row r="686" spans="1:1" ht="14.25" customHeight="1" x14ac:dyDescent="0.2">
      <c r="A686" s="61"/>
    </row>
    <row r="687" spans="1:1" ht="14.25" customHeight="1" x14ac:dyDescent="0.2">
      <c r="A687" s="61"/>
    </row>
    <row r="688" spans="1:1" ht="14.25" customHeight="1" x14ac:dyDescent="0.2">
      <c r="A688" s="61"/>
    </row>
    <row r="689" spans="1:1" ht="14.25" customHeight="1" x14ac:dyDescent="0.2">
      <c r="A689" s="61"/>
    </row>
    <row r="690" spans="1:1" ht="14.25" customHeight="1" x14ac:dyDescent="0.2">
      <c r="A690" s="61"/>
    </row>
    <row r="691" spans="1:1" ht="14.25" customHeight="1" x14ac:dyDescent="0.2">
      <c r="A691" s="61"/>
    </row>
    <row r="692" spans="1:1" ht="14.25" customHeight="1" x14ac:dyDescent="0.2">
      <c r="A692" s="61"/>
    </row>
    <row r="693" spans="1:1" ht="14.25" customHeight="1" x14ac:dyDescent="0.2">
      <c r="A693" s="61"/>
    </row>
    <row r="694" spans="1:1" ht="14.25" customHeight="1" x14ac:dyDescent="0.2">
      <c r="A694" s="61"/>
    </row>
    <row r="695" spans="1:1" ht="14.25" customHeight="1" x14ac:dyDescent="0.2">
      <c r="A695" s="61"/>
    </row>
    <row r="696" spans="1:1" ht="14.25" customHeight="1" x14ac:dyDescent="0.2">
      <c r="A696" s="61"/>
    </row>
    <row r="697" spans="1:1" ht="14.25" customHeight="1" x14ac:dyDescent="0.2">
      <c r="A697" s="61"/>
    </row>
    <row r="698" spans="1:1" ht="14.25" customHeight="1" x14ac:dyDescent="0.2">
      <c r="A698" s="61"/>
    </row>
    <row r="699" spans="1:1" ht="14.25" customHeight="1" x14ac:dyDescent="0.2">
      <c r="A699" s="61"/>
    </row>
    <row r="700" spans="1:1" ht="14.25" customHeight="1" x14ac:dyDescent="0.2">
      <c r="A700" s="61"/>
    </row>
    <row r="701" spans="1:1" ht="14.25" customHeight="1" x14ac:dyDescent="0.2">
      <c r="A701" s="61"/>
    </row>
    <row r="702" spans="1:1" ht="14.25" customHeight="1" x14ac:dyDescent="0.2">
      <c r="A702" s="61"/>
    </row>
    <row r="703" spans="1:1" ht="14.25" customHeight="1" x14ac:dyDescent="0.2">
      <c r="A703" s="61"/>
    </row>
    <row r="704" spans="1:1" ht="14.25" customHeight="1" x14ac:dyDescent="0.2">
      <c r="A704" s="61"/>
    </row>
    <row r="705" spans="1:1" ht="14.25" customHeight="1" x14ac:dyDescent="0.2">
      <c r="A705" s="61"/>
    </row>
    <row r="706" spans="1:1" ht="14.25" customHeight="1" x14ac:dyDescent="0.2">
      <c r="A706" s="61"/>
    </row>
    <row r="707" spans="1:1" ht="14.25" customHeight="1" x14ac:dyDescent="0.2">
      <c r="A707" s="61"/>
    </row>
    <row r="708" spans="1:1" ht="14.25" customHeight="1" x14ac:dyDescent="0.2">
      <c r="A708" s="61"/>
    </row>
    <row r="709" spans="1:1" ht="14.25" customHeight="1" x14ac:dyDescent="0.2">
      <c r="A709" s="61"/>
    </row>
    <row r="710" spans="1:1" ht="14.25" customHeight="1" x14ac:dyDescent="0.2">
      <c r="A710" s="61"/>
    </row>
    <row r="711" spans="1:1" ht="14.25" customHeight="1" x14ac:dyDescent="0.2">
      <c r="A711" s="61"/>
    </row>
    <row r="712" spans="1:1" ht="14.25" customHeight="1" x14ac:dyDescent="0.2">
      <c r="A712" s="61"/>
    </row>
    <row r="713" spans="1:1" ht="14.25" customHeight="1" x14ac:dyDescent="0.2">
      <c r="A713" s="61"/>
    </row>
    <row r="714" spans="1:1" ht="14.25" customHeight="1" x14ac:dyDescent="0.2">
      <c r="A714" s="61"/>
    </row>
    <row r="715" spans="1:1" ht="14.25" customHeight="1" x14ac:dyDescent="0.2">
      <c r="A715" s="61"/>
    </row>
    <row r="716" spans="1:1" ht="14.25" customHeight="1" x14ac:dyDescent="0.2">
      <c r="A716" s="61"/>
    </row>
    <row r="717" spans="1:1" ht="14.25" customHeight="1" x14ac:dyDescent="0.2">
      <c r="A717" s="61"/>
    </row>
    <row r="718" spans="1:1" ht="14.25" customHeight="1" x14ac:dyDescent="0.2">
      <c r="A718" s="61"/>
    </row>
    <row r="719" spans="1:1" ht="14.25" customHeight="1" x14ac:dyDescent="0.2">
      <c r="A719" s="61"/>
    </row>
    <row r="720" spans="1:1" ht="14.25" customHeight="1" x14ac:dyDescent="0.2">
      <c r="A720" s="61"/>
    </row>
    <row r="721" spans="1:1" ht="14.25" customHeight="1" x14ac:dyDescent="0.2">
      <c r="A721" s="61"/>
    </row>
    <row r="722" spans="1:1" ht="14.25" customHeight="1" x14ac:dyDescent="0.2">
      <c r="A722" s="61"/>
    </row>
    <row r="723" spans="1:1" ht="14.25" customHeight="1" x14ac:dyDescent="0.2">
      <c r="A723" s="61"/>
    </row>
    <row r="724" spans="1:1" ht="14.25" customHeight="1" x14ac:dyDescent="0.2">
      <c r="A724" s="61"/>
    </row>
    <row r="725" spans="1:1" ht="14.25" customHeight="1" x14ac:dyDescent="0.2">
      <c r="A725" s="61"/>
    </row>
    <row r="726" spans="1:1" ht="14.25" customHeight="1" x14ac:dyDescent="0.2">
      <c r="A726" s="61"/>
    </row>
    <row r="727" spans="1:1" ht="14.25" customHeight="1" x14ac:dyDescent="0.2">
      <c r="A727" s="61"/>
    </row>
    <row r="728" spans="1:1" ht="14.25" customHeight="1" x14ac:dyDescent="0.2">
      <c r="A728" s="61"/>
    </row>
    <row r="729" spans="1:1" ht="14.25" customHeight="1" x14ac:dyDescent="0.2">
      <c r="A729" s="61"/>
    </row>
    <row r="730" spans="1:1" ht="14.25" customHeight="1" x14ac:dyDescent="0.2">
      <c r="A730" s="61"/>
    </row>
    <row r="731" spans="1:1" ht="14.25" customHeight="1" x14ac:dyDescent="0.2">
      <c r="A731" s="61"/>
    </row>
    <row r="732" spans="1:1" ht="14.25" customHeight="1" x14ac:dyDescent="0.2">
      <c r="A732" s="61"/>
    </row>
    <row r="733" spans="1:1" ht="14.25" customHeight="1" x14ac:dyDescent="0.2">
      <c r="A733" s="61"/>
    </row>
    <row r="734" spans="1:1" ht="14.25" customHeight="1" x14ac:dyDescent="0.2">
      <c r="A734" s="61"/>
    </row>
    <row r="735" spans="1:1" ht="14.25" customHeight="1" x14ac:dyDescent="0.2">
      <c r="A735" s="61"/>
    </row>
    <row r="736" spans="1:1" ht="14.25" customHeight="1" x14ac:dyDescent="0.2">
      <c r="A736" s="61"/>
    </row>
    <row r="737" spans="1:1" ht="14.25" customHeight="1" x14ac:dyDescent="0.2">
      <c r="A737" s="61"/>
    </row>
    <row r="738" spans="1:1" ht="14.25" customHeight="1" x14ac:dyDescent="0.2">
      <c r="A738" s="61"/>
    </row>
    <row r="739" spans="1:1" ht="14.25" customHeight="1" x14ac:dyDescent="0.2">
      <c r="A739" s="61"/>
    </row>
    <row r="740" spans="1:1" ht="14.25" customHeight="1" x14ac:dyDescent="0.2">
      <c r="A740" s="61"/>
    </row>
    <row r="741" spans="1:1" ht="14.25" customHeight="1" x14ac:dyDescent="0.2">
      <c r="A741" s="61"/>
    </row>
    <row r="742" spans="1:1" ht="14.25" customHeight="1" x14ac:dyDescent="0.2">
      <c r="A742" s="61"/>
    </row>
    <row r="743" spans="1:1" ht="14.25" customHeight="1" x14ac:dyDescent="0.2">
      <c r="A743" s="61"/>
    </row>
    <row r="744" spans="1:1" ht="14.25" customHeight="1" x14ac:dyDescent="0.2">
      <c r="A744" s="61"/>
    </row>
    <row r="745" spans="1:1" ht="14.25" customHeight="1" x14ac:dyDescent="0.2">
      <c r="A745" s="61"/>
    </row>
    <row r="746" spans="1:1" ht="14.25" customHeight="1" x14ac:dyDescent="0.2">
      <c r="A746" s="61"/>
    </row>
    <row r="747" spans="1:1" ht="14.25" customHeight="1" x14ac:dyDescent="0.2">
      <c r="A747" s="61"/>
    </row>
    <row r="748" spans="1:1" ht="14.25" customHeight="1" x14ac:dyDescent="0.2">
      <c r="A748" s="61"/>
    </row>
    <row r="749" spans="1:1" ht="14.25" customHeight="1" x14ac:dyDescent="0.2">
      <c r="A749" s="61"/>
    </row>
    <row r="750" spans="1:1" ht="14.25" customHeight="1" x14ac:dyDescent="0.2">
      <c r="A750" s="61"/>
    </row>
    <row r="751" spans="1:1" ht="14.25" customHeight="1" x14ac:dyDescent="0.2">
      <c r="A751" s="61"/>
    </row>
    <row r="752" spans="1:1" ht="14.25" customHeight="1" x14ac:dyDescent="0.2">
      <c r="A752" s="61"/>
    </row>
    <row r="753" spans="1:1" ht="14.25" customHeight="1" x14ac:dyDescent="0.2">
      <c r="A753" s="61"/>
    </row>
    <row r="754" spans="1:1" ht="14.25" customHeight="1" x14ac:dyDescent="0.2">
      <c r="A754" s="61"/>
    </row>
    <row r="755" spans="1:1" ht="14.25" customHeight="1" x14ac:dyDescent="0.2">
      <c r="A755" s="61"/>
    </row>
    <row r="756" spans="1:1" ht="14.25" customHeight="1" x14ac:dyDescent="0.2">
      <c r="A756" s="61"/>
    </row>
    <row r="757" spans="1:1" ht="14.25" customHeight="1" x14ac:dyDescent="0.2">
      <c r="A757" s="61"/>
    </row>
    <row r="758" spans="1:1" ht="14.25" customHeight="1" x14ac:dyDescent="0.2">
      <c r="A758" s="61"/>
    </row>
    <row r="759" spans="1:1" ht="14.25" customHeight="1" x14ac:dyDescent="0.2">
      <c r="A759" s="61"/>
    </row>
    <row r="760" spans="1:1" ht="14.25" customHeight="1" x14ac:dyDescent="0.2">
      <c r="A760" s="61"/>
    </row>
    <row r="761" spans="1:1" ht="14.25" customHeight="1" x14ac:dyDescent="0.2">
      <c r="A761" s="61"/>
    </row>
    <row r="762" spans="1:1" ht="14.25" customHeight="1" x14ac:dyDescent="0.2">
      <c r="A762" s="61"/>
    </row>
    <row r="763" spans="1:1" ht="14.25" customHeight="1" x14ac:dyDescent="0.2">
      <c r="A763" s="61"/>
    </row>
    <row r="764" spans="1:1" ht="14.25" customHeight="1" x14ac:dyDescent="0.2">
      <c r="A764" s="61"/>
    </row>
    <row r="765" spans="1:1" ht="14.25" customHeight="1" x14ac:dyDescent="0.2">
      <c r="A765" s="61"/>
    </row>
    <row r="766" spans="1:1" ht="14.25" customHeight="1" x14ac:dyDescent="0.2">
      <c r="A766" s="61"/>
    </row>
    <row r="767" spans="1:1" ht="14.25" customHeight="1" x14ac:dyDescent="0.2">
      <c r="A767" s="61"/>
    </row>
    <row r="768" spans="1:1" ht="14.25" customHeight="1" x14ac:dyDescent="0.2">
      <c r="A768" s="61"/>
    </row>
    <row r="769" spans="1:1" ht="14.25" customHeight="1" x14ac:dyDescent="0.2">
      <c r="A769" s="61"/>
    </row>
    <row r="770" spans="1:1" ht="14.25" customHeight="1" x14ac:dyDescent="0.2">
      <c r="A770" s="61"/>
    </row>
    <row r="771" spans="1:1" ht="14.25" customHeight="1" x14ac:dyDescent="0.2">
      <c r="A771" s="61"/>
    </row>
    <row r="772" spans="1:1" ht="14.25" customHeight="1" x14ac:dyDescent="0.2">
      <c r="A772" s="61"/>
    </row>
    <row r="773" spans="1:1" ht="14.25" customHeight="1" x14ac:dyDescent="0.2">
      <c r="A773" s="61"/>
    </row>
    <row r="774" spans="1:1" ht="14.25" customHeight="1" x14ac:dyDescent="0.2">
      <c r="A774" s="61"/>
    </row>
    <row r="775" spans="1:1" ht="14.25" customHeight="1" x14ac:dyDescent="0.2">
      <c r="A775" s="61"/>
    </row>
    <row r="776" spans="1:1" ht="14.25" customHeight="1" x14ac:dyDescent="0.2">
      <c r="A776" s="61"/>
    </row>
    <row r="777" spans="1:1" ht="14.25" customHeight="1" x14ac:dyDescent="0.2">
      <c r="A777" s="61"/>
    </row>
    <row r="778" spans="1:1" ht="14.25" customHeight="1" x14ac:dyDescent="0.2">
      <c r="A778" s="61"/>
    </row>
    <row r="779" spans="1:1" ht="14.25" customHeight="1" x14ac:dyDescent="0.2">
      <c r="A779" s="61"/>
    </row>
    <row r="780" spans="1:1" ht="14.25" customHeight="1" x14ac:dyDescent="0.2">
      <c r="A780" s="61"/>
    </row>
    <row r="781" spans="1:1" ht="14.25" customHeight="1" x14ac:dyDescent="0.2">
      <c r="A781" s="61"/>
    </row>
    <row r="782" spans="1:1" ht="14.25" customHeight="1" x14ac:dyDescent="0.2">
      <c r="A782" s="61"/>
    </row>
    <row r="783" spans="1:1" ht="14.25" customHeight="1" x14ac:dyDescent="0.2">
      <c r="A783" s="61"/>
    </row>
    <row r="784" spans="1:1" ht="14.25" customHeight="1" x14ac:dyDescent="0.2">
      <c r="A784" s="61"/>
    </row>
    <row r="785" spans="1:1" ht="14.25" customHeight="1" x14ac:dyDescent="0.2">
      <c r="A785" s="61"/>
    </row>
    <row r="786" spans="1:1" ht="14.25" customHeight="1" x14ac:dyDescent="0.2">
      <c r="A786" s="61"/>
    </row>
    <row r="787" spans="1:1" ht="14.25" customHeight="1" x14ac:dyDescent="0.2">
      <c r="A787" s="61"/>
    </row>
    <row r="788" spans="1:1" ht="14.25" customHeight="1" x14ac:dyDescent="0.2">
      <c r="A788" s="61"/>
    </row>
    <row r="789" spans="1:1" ht="14.25" customHeight="1" x14ac:dyDescent="0.2">
      <c r="A789" s="61"/>
    </row>
    <row r="790" spans="1:1" ht="14.25" customHeight="1" x14ac:dyDescent="0.2">
      <c r="A790" s="61"/>
    </row>
    <row r="791" spans="1:1" ht="14.25" customHeight="1" x14ac:dyDescent="0.2">
      <c r="A791" s="61"/>
    </row>
    <row r="792" spans="1:1" ht="14.25" customHeight="1" x14ac:dyDescent="0.2">
      <c r="A792" s="61"/>
    </row>
    <row r="793" spans="1:1" ht="14.25" customHeight="1" x14ac:dyDescent="0.2">
      <c r="A793" s="61"/>
    </row>
    <row r="794" spans="1:1" ht="14.25" customHeight="1" x14ac:dyDescent="0.2">
      <c r="A794" s="61"/>
    </row>
    <row r="795" spans="1:1" ht="14.25" customHeight="1" x14ac:dyDescent="0.2">
      <c r="A795" s="61"/>
    </row>
    <row r="796" spans="1:1" ht="14.25" customHeight="1" x14ac:dyDescent="0.2">
      <c r="A796" s="61"/>
    </row>
    <row r="797" spans="1:1" ht="14.25" customHeight="1" x14ac:dyDescent="0.2">
      <c r="A797" s="61"/>
    </row>
    <row r="798" spans="1:1" ht="14.25" customHeight="1" x14ac:dyDescent="0.2">
      <c r="A798" s="61"/>
    </row>
    <row r="799" spans="1:1" ht="14.25" customHeight="1" x14ac:dyDescent="0.2">
      <c r="A799" s="61"/>
    </row>
    <row r="800" spans="1:1" ht="14.25" customHeight="1" x14ac:dyDescent="0.2">
      <c r="A800" s="61"/>
    </row>
    <row r="801" spans="1:1" ht="14.25" customHeight="1" x14ac:dyDescent="0.2">
      <c r="A801" s="61"/>
    </row>
    <row r="802" spans="1:1" ht="14.25" customHeight="1" x14ac:dyDescent="0.2">
      <c r="A802" s="61"/>
    </row>
    <row r="803" spans="1:1" ht="14.25" customHeight="1" x14ac:dyDescent="0.2">
      <c r="A803" s="61"/>
    </row>
    <row r="804" spans="1:1" ht="14.25" customHeight="1" x14ac:dyDescent="0.2">
      <c r="A804" s="61"/>
    </row>
    <row r="805" spans="1:1" ht="14.25" customHeight="1" x14ac:dyDescent="0.2">
      <c r="A805" s="61"/>
    </row>
    <row r="806" spans="1:1" ht="14.25" customHeight="1" x14ac:dyDescent="0.2">
      <c r="A806" s="61"/>
    </row>
    <row r="807" spans="1:1" ht="14.25" customHeight="1" x14ac:dyDescent="0.2">
      <c r="A807" s="61"/>
    </row>
    <row r="808" spans="1:1" ht="14.25" customHeight="1" x14ac:dyDescent="0.2">
      <c r="A808" s="61"/>
    </row>
    <row r="809" spans="1:1" ht="14.25" customHeight="1" x14ac:dyDescent="0.2">
      <c r="A809" s="61"/>
    </row>
    <row r="810" spans="1:1" ht="14.25" customHeight="1" x14ac:dyDescent="0.2">
      <c r="A810" s="61"/>
    </row>
    <row r="811" spans="1:1" ht="14.25" customHeight="1" x14ac:dyDescent="0.2">
      <c r="A811" s="61"/>
    </row>
    <row r="812" spans="1:1" ht="14.25" customHeight="1" x14ac:dyDescent="0.2">
      <c r="A812" s="61"/>
    </row>
    <row r="813" spans="1:1" ht="14.25" customHeight="1" x14ac:dyDescent="0.2">
      <c r="A813" s="61"/>
    </row>
    <row r="814" spans="1:1" ht="14.25" customHeight="1" x14ac:dyDescent="0.2">
      <c r="A814" s="61"/>
    </row>
    <row r="815" spans="1:1" ht="14.25" customHeight="1" x14ac:dyDescent="0.2">
      <c r="A815" s="61"/>
    </row>
    <row r="816" spans="1:1" ht="14.25" customHeight="1" x14ac:dyDescent="0.2">
      <c r="A816" s="61"/>
    </row>
    <row r="817" spans="1:1" ht="14.25" customHeight="1" x14ac:dyDescent="0.2">
      <c r="A817" s="61"/>
    </row>
    <row r="818" spans="1:1" ht="14.25" customHeight="1" x14ac:dyDescent="0.2">
      <c r="A818" s="61"/>
    </row>
    <row r="819" spans="1:1" ht="14.25" customHeight="1" x14ac:dyDescent="0.2">
      <c r="A819" s="61"/>
    </row>
    <row r="820" spans="1:1" ht="14.25" customHeight="1" x14ac:dyDescent="0.2">
      <c r="A820" s="61"/>
    </row>
    <row r="821" spans="1:1" ht="14.25" customHeight="1" x14ac:dyDescent="0.2">
      <c r="A821" s="61"/>
    </row>
    <row r="822" spans="1:1" ht="14.25" customHeight="1" x14ac:dyDescent="0.2">
      <c r="A822" s="61"/>
    </row>
    <row r="823" spans="1:1" ht="14.25" customHeight="1" x14ac:dyDescent="0.2">
      <c r="A823" s="61"/>
    </row>
    <row r="824" spans="1:1" ht="14.25" customHeight="1" x14ac:dyDescent="0.2">
      <c r="A824" s="61"/>
    </row>
    <row r="825" spans="1:1" ht="14.25" customHeight="1" x14ac:dyDescent="0.2">
      <c r="A825" s="61"/>
    </row>
    <row r="826" spans="1:1" ht="14.25" customHeight="1" x14ac:dyDescent="0.2">
      <c r="A826" s="61"/>
    </row>
    <row r="827" spans="1:1" ht="14.25" customHeight="1" x14ac:dyDescent="0.2">
      <c r="A827" s="61"/>
    </row>
    <row r="828" spans="1:1" ht="14.25" customHeight="1" x14ac:dyDescent="0.2">
      <c r="A828" s="61"/>
    </row>
    <row r="829" spans="1:1" ht="14.25" customHeight="1" x14ac:dyDescent="0.2">
      <c r="A829" s="61"/>
    </row>
    <row r="830" spans="1:1" ht="14.25" customHeight="1" x14ac:dyDescent="0.2">
      <c r="A830" s="61"/>
    </row>
    <row r="831" spans="1:1" ht="14.25" customHeight="1" x14ac:dyDescent="0.2">
      <c r="A831" s="61"/>
    </row>
    <row r="832" spans="1:1" ht="14.25" customHeight="1" x14ac:dyDescent="0.2">
      <c r="A832" s="61"/>
    </row>
    <row r="833" spans="1:1" ht="14.25" customHeight="1" x14ac:dyDescent="0.2">
      <c r="A833" s="61"/>
    </row>
    <row r="834" spans="1:1" ht="14.25" customHeight="1" x14ac:dyDescent="0.2">
      <c r="A834" s="61"/>
    </row>
    <row r="835" spans="1:1" ht="14.25" customHeight="1" x14ac:dyDescent="0.2">
      <c r="A835" s="61"/>
    </row>
    <row r="836" spans="1:1" ht="14.25" customHeight="1" x14ac:dyDescent="0.2">
      <c r="A836" s="61"/>
    </row>
    <row r="837" spans="1:1" ht="14.25" customHeight="1" x14ac:dyDescent="0.2">
      <c r="A837" s="61"/>
    </row>
    <row r="838" spans="1:1" ht="14.25" customHeight="1" x14ac:dyDescent="0.2">
      <c r="A838" s="61"/>
    </row>
    <row r="839" spans="1:1" ht="14.25" customHeight="1" x14ac:dyDescent="0.2">
      <c r="A839" s="61"/>
    </row>
    <row r="840" spans="1:1" ht="14.25" customHeight="1" x14ac:dyDescent="0.2">
      <c r="A840" s="61"/>
    </row>
    <row r="841" spans="1:1" ht="14.25" customHeight="1" x14ac:dyDescent="0.2">
      <c r="A841" s="61"/>
    </row>
    <row r="842" spans="1:1" ht="14.25" customHeight="1" x14ac:dyDescent="0.2">
      <c r="A842" s="61"/>
    </row>
    <row r="843" spans="1:1" ht="14.25" customHeight="1" x14ac:dyDescent="0.2">
      <c r="A843" s="61"/>
    </row>
    <row r="844" spans="1:1" ht="14.25" customHeight="1" x14ac:dyDescent="0.2">
      <c r="A844" s="61"/>
    </row>
    <row r="845" spans="1:1" ht="14.25" customHeight="1" x14ac:dyDescent="0.2">
      <c r="A845" s="61"/>
    </row>
    <row r="846" spans="1:1" ht="14.25" customHeight="1" x14ac:dyDescent="0.2">
      <c r="A846" s="61"/>
    </row>
    <row r="847" spans="1:1" ht="14.25" customHeight="1" x14ac:dyDescent="0.2">
      <c r="A847" s="61"/>
    </row>
    <row r="848" spans="1:1" ht="14.25" customHeight="1" x14ac:dyDescent="0.2">
      <c r="A848" s="61"/>
    </row>
    <row r="849" spans="1:1" ht="14.25" customHeight="1" x14ac:dyDescent="0.2">
      <c r="A849" s="61"/>
    </row>
    <row r="850" spans="1:1" ht="14.25" customHeight="1" x14ac:dyDescent="0.2">
      <c r="A850" s="61"/>
    </row>
    <row r="851" spans="1:1" ht="14.25" customHeight="1" x14ac:dyDescent="0.2">
      <c r="A851" s="61"/>
    </row>
    <row r="852" spans="1:1" ht="14.25" customHeight="1" x14ac:dyDescent="0.2">
      <c r="A852" s="61"/>
    </row>
    <row r="853" spans="1:1" ht="14.25" customHeight="1" x14ac:dyDescent="0.2">
      <c r="A853" s="61"/>
    </row>
    <row r="854" spans="1:1" ht="14.25" customHeight="1" x14ac:dyDescent="0.2">
      <c r="A854" s="61"/>
    </row>
    <row r="855" spans="1:1" ht="14.25" customHeight="1" x14ac:dyDescent="0.2">
      <c r="A855" s="61"/>
    </row>
    <row r="856" spans="1:1" ht="14.25" customHeight="1" x14ac:dyDescent="0.2">
      <c r="A856" s="61"/>
    </row>
    <row r="857" spans="1:1" ht="14.25" customHeight="1" x14ac:dyDescent="0.2">
      <c r="A857" s="61"/>
    </row>
    <row r="858" spans="1:1" ht="14.25" customHeight="1" x14ac:dyDescent="0.2">
      <c r="A858" s="61"/>
    </row>
    <row r="859" spans="1:1" ht="14.25" customHeight="1" x14ac:dyDescent="0.2">
      <c r="A859" s="61"/>
    </row>
    <row r="860" spans="1:1" ht="14.25" customHeight="1" x14ac:dyDescent="0.2">
      <c r="A860" s="61"/>
    </row>
    <row r="861" spans="1:1" ht="14.25" customHeight="1" x14ac:dyDescent="0.2">
      <c r="A861" s="61"/>
    </row>
    <row r="862" spans="1:1" ht="14.25" customHeight="1" x14ac:dyDescent="0.2">
      <c r="A862" s="61"/>
    </row>
    <row r="863" spans="1:1" ht="14.25" customHeight="1" x14ac:dyDescent="0.2">
      <c r="A863" s="61"/>
    </row>
    <row r="864" spans="1:1" ht="14.25" customHeight="1" x14ac:dyDescent="0.2">
      <c r="A864" s="61"/>
    </row>
    <row r="865" spans="1:1" ht="14.25" customHeight="1" x14ac:dyDescent="0.2">
      <c r="A865" s="61"/>
    </row>
    <row r="866" spans="1:1" ht="14.25" customHeight="1" x14ac:dyDescent="0.2">
      <c r="A866" s="61"/>
    </row>
    <row r="867" spans="1:1" ht="14.25" customHeight="1" x14ac:dyDescent="0.2">
      <c r="A867" s="61"/>
    </row>
    <row r="868" spans="1:1" ht="14.25" customHeight="1" x14ac:dyDescent="0.2">
      <c r="A868" s="61"/>
    </row>
    <row r="869" spans="1:1" ht="14.25" customHeight="1" x14ac:dyDescent="0.2">
      <c r="A869" s="61"/>
    </row>
    <row r="870" spans="1:1" ht="14.25" customHeight="1" x14ac:dyDescent="0.2">
      <c r="A870" s="61"/>
    </row>
    <row r="871" spans="1:1" ht="14.25" customHeight="1" x14ac:dyDescent="0.2">
      <c r="A871" s="61"/>
    </row>
    <row r="872" spans="1:1" ht="14.25" customHeight="1" x14ac:dyDescent="0.2">
      <c r="A872" s="61"/>
    </row>
    <row r="873" spans="1:1" ht="14.25" customHeight="1" x14ac:dyDescent="0.2">
      <c r="A873" s="61"/>
    </row>
    <row r="874" spans="1:1" ht="14.25" customHeight="1" x14ac:dyDescent="0.2">
      <c r="A874" s="61"/>
    </row>
    <row r="875" spans="1:1" ht="14.25" customHeight="1" x14ac:dyDescent="0.2">
      <c r="A875" s="61"/>
    </row>
    <row r="876" spans="1:1" ht="14.25" customHeight="1" x14ac:dyDescent="0.2">
      <c r="A876" s="61"/>
    </row>
    <row r="877" spans="1:1" ht="14.25" customHeight="1" x14ac:dyDescent="0.2">
      <c r="A877" s="61"/>
    </row>
    <row r="878" spans="1:1" ht="14.25" customHeight="1" x14ac:dyDescent="0.2">
      <c r="A878" s="61"/>
    </row>
    <row r="879" spans="1:1" ht="14.25" customHeight="1" x14ac:dyDescent="0.2">
      <c r="A879" s="61"/>
    </row>
    <row r="880" spans="1:1" ht="14.25" customHeight="1" x14ac:dyDescent="0.2">
      <c r="A880" s="61"/>
    </row>
    <row r="881" spans="1:1" ht="14.25" customHeight="1" x14ac:dyDescent="0.2">
      <c r="A881" s="61"/>
    </row>
    <row r="882" spans="1:1" ht="14.25" customHeight="1" x14ac:dyDescent="0.2">
      <c r="A882" s="61"/>
    </row>
    <row r="883" spans="1:1" ht="14.25" customHeight="1" x14ac:dyDescent="0.2">
      <c r="A883" s="61"/>
    </row>
    <row r="884" spans="1:1" ht="14.25" customHeight="1" x14ac:dyDescent="0.2">
      <c r="A884" s="61"/>
    </row>
    <row r="885" spans="1:1" ht="14.25" customHeight="1" x14ac:dyDescent="0.2">
      <c r="A885" s="61"/>
    </row>
    <row r="886" spans="1:1" ht="14.25" customHeight="1" x14ac:dyDescent="0.2">
      <c r="A886" s="61"/>
    </row>
    <row r="887" spans="1:1" ht="14.25" customHeight="1" x14ac:dyDescent="0.2">
      <c r="A887" s="61"/>
    </row>
    <row r="888" spans="1:1" ht="14.25" customHeight="1" x14ac:dyDescent="0.2">
      <c r="A888" s="61"/>
    </row>
    <row r="889" spans="1:1" ht="14.25" customHeight="1" x14ac:dyDescent="0.2">
      <c r="A889" s="61"/>
    </row>
    <row r="890" spans="1:1" ht="14.25" customHeight="1" x14ac:dyDescent="0.2">
      <c r="A890" s="61"/>
    </row>
    <row r="891" spans="1:1" ht="14.25" customHeight="1" x14ac:dyDescent="0.2">
      <c r="A891" s="61"/>
    </row>
    <row r="892" spans="1:1" ht="14.25" customHeight="1" x14ac:dyDescent="0.2">
      <c r="A892" s="61"/>
    </row>
    <row r="893" spans="1:1" ht="14.25" customHeight="1" x14ac:dyDescent="0.2">
      <c r="A893" s="61"/>
    </row>
    <row r="894" spans="1:1" ht="14.25" customHeight="1" x14ac:dyDescent="0.2">
      <c r="A894" s="61"/>
    </row>
    <row r="895" spans="1:1" ht="14.25" customHeight="1" x14ac:dyDescent="0.2">
      <c r="A895" s="61"/>
    </row>
    <row r="896" spans="1:1" ht="14.25" customHeight="1" x14ac:dyDescent="0.2">
      <c r="A896" s="61"/>
    </row>
    <row r="897" spans="1:1" ht="14.25" customHeight="1" x14ac:dyDescent="0.2">
      <c r="A897" s="61"/>
    </row>
    <row r="898" spans="1:1" ht="14.25" customHeight="1" x14ac:dyDescent="0.2">
      <c r="A898" s="61"/>
    </row>
    <row r="899" spans="1:1" ht="14.25" customHeight="1" x14ac:dyDescent="0.2">
      <c r="A899" s="61"/>
    </row>
    <row r="900" spans="1:1" ht="14.25" customHeight="1" x14ac:dyDescent="0.2">
      <c r="A900" s="61"/>
    </row>
    <row r="901" spans="1:1" ht="14.25" customHeight="1" x14ac:dyDescent="0.2">
      <c r="A901" s="61"/>
    </row>
    <row r="902" spans="1:1" ht="14.25" customHeight="1" x14ac:dyDescent="0.2">
      <c r="A902" s="61"/>
    </row>
    <row r="903" spans="1:1" ht="14.25" customHeight="1" x14ac:dyDescent="0.2">
      <c r="A903" s="61"/>
    </row>
    <row r="904" spans="1:1" ht="14.25" customHeight="1" x14ac:dyDescent="0.2">
      <c r="A904" s="61"/>
    </row>
    <row r="905" spans="1:1" ht="14.25" customHeight="1" x14ac:dyDescent="0.2">
      <c r="A905" s="61"/>
    </row>
    <row r="906" spans="1:1" ht="14.25" customHeight="1" x14ac:dyDescent="0.2">
      <c r="A906" s="61"/>
    </row>
    <row r="907" spans="1:1" ht="14.25" customHeight="1" x14ac:dyDescent="0.2">
      <c r="A907" s="61"/>
    </row>
    <row r="908" spans="1:1" ht="14.25" customHeight="1" x14ac:dyDescent="0.2">
      <c r="A908" s="61"/>
    </row>
    <row r="909" spans="1:1" ht="14.25" customHeight="1" x14ac:dyDescent="0.2">
      <c r="A909" s="61"/>
    </row>
    <row r="910" spans="1:1" ht="14.25" customHeight="1" x14ac:dyDescent="0.2">
      <c r="A910" s="61"/>
    </row>
    <row r="911" spans="1:1" ht="14.25" customHeight="1" x14ac:dyDescent="0.2">
      <c r="A911" s="61"/>
    </row>
    <row r="912" spans="1:1" ht="14.25" customHeight="1" x14ac:dyDescent="0.2">
      <c r="A912" s="61"/>
    </row>
    <row r="913" spans="1:1" ht="14.25" customHeight="1" x14ac:dyDescent="0.2">
      <c r="A913" s="61"/>
    </row>
    <row r="914" spans="1:1" ht="14.25" customHeight="1" x14ac:dyDescent="0.2">
      <c r="A914" s="61"/>
    </row>
    <row r="915" spans="1:1" ht="14.25" customHeight="1" x14ac:dyDescent="0.2">
      <c r="A915" s="61"/>
    </row>
    <row r="916" spans="1:1" ht="14.25" customHeight="1" x14ac:dyDescent="0.2">
      <c r="A916" s="61"/>
    </row>
    <row r="917" spans="1:1" ht="14.25" customHeight="1" x14ac:dyDescent="0.2">
      <c r="A917" s="61"/>
    </row>
    <row r="918" spans="1:1" ht="14.25" customHeight="1" x14ac:dyDescent="0.2">
      <c r="A918" s="61"/>
    </row>
    <row r="919" spans="1:1" ht="14.25" customHeight="1" x14ac:dyDescent="0.2">
      <c r="A919" s="61"/>
    </row>
    <row r="920" spans="1:1" ht="14.25" customHeight="1" x14ac:dyDescent="0.2">
      <c r="A920" s="61"/>
    </row>
    <row r="921" spans="1:1" ht="14.25" customHeight="1" x14ac:dyDescent="0.2">
      <c r="A921" s="61"/>
    </row>
    <row r="922" spans="1:1" ht="14.25" customHeight="1" x14ac:dyDescent="0.2">
      <c r="A922" s="61"/>
    </row>
    <row r="923" spans="1:1" ht="14.25" customHeight="1" x14ac:dyDescent="0.2">
      <c r="A923" s="61"/>
    </row>
    <row r="924" spans="1:1" ht="14.25" customHeight="1" x14ac:dyDescent="0.2">
      <c r="A924" s="61"/>
    </row>
    <row r="925" spans="1:1" ht="14.25" customHeight="1" x14ac:dyDescent="0.2">
      <c r="A925" s="61"/>
    </row>
    <row r="926" spans="1:1" ht="14.25" customHeight="1" x14ac:dyDescent="0.2">
      <c r="A926" s="61"/>
    </row>
    <row r="927" spans="1:1" ht="14.25" customHeight="1" x14ac:dyDescent="0.2">
      <c r="A927" s="61"/>
    </row>
    <row r="928" spans="1:1" ht="14.25" customHeight="1" x14ac:dyDescent="0.2">
      <c r="A928" s="61"/>
    </row>
    <row r="929" spans="1:1" ht="14.25" customHeight="1" x14ac:dyDescent="0.2">
      <c r="A929" s="61"/>
    </row>
    <row r="930" spans="1:1" ht="14.25" customHeight="1" x14ac:dyDescent="0.2">
      <c r="A930" s="61"/>
    </row>
    <row r="931" spans="1:1" ht="14.25" customHeight="1" x14ac:dyDescent="0.2">
      <c r="A931" s="61"/>
    </row>
    <row r="932" spans="1:1" ht="14.25" customHeight="1" x14ac:dyDescent="0.2">
      <c r="A932" s="61"/>
    </row>
    <row r="933" spans="1:1" ht="14.25" customHeight="1" x14ac:dyDescent="0.2">
      <c r="A933" s="61"/>
    </row>
    <row r="934" spans="1:1" ht="14.25" customHeight="1" x14ac:dyDescent="0.2">
      <c r="A934" s="61"/>
    </row>
    <row r="935" spans="1:1" ht="14.25" customHeight="1" x14ac:dyDescent="0.2">
      <c r="A935" s="61"/>
    </row>
    <row r="936" spans="1:1" ht="14.25" customHeight="1" x14ac:dyDescent="0.2">
      <c r="A936" s="61"/>
    </row>
    <row r="937" spans="1:1" ht="14.25" customHeight="1" x14ac:dyDescent="0.2">
      <c r="A937" s="61"/>
    </row>
    <row r="938" spans="1:1" ht="14.25" customHeight="1" x14ac:dyDescent="0.2">
      <c r="A938" s="61"/>
    </row>
    <row r="939" spans="1:1" ht="14.25" customHeight="1" x14ac:dyDescent="0.2">
      <c r="A939" s="61"/>
    </row>
    <row r="940" spans="1:1" ht="14.25" customHeight="1" x14ac:dyDescent="0.2">
      <c r="A940" s="61"/>
    </row>
    <row r="941" spans="1:1" ht="14.25" customHeight="1" x14ac:dyDescent="0.2">
      <c r="A941" s="61"/>
    </row>
    <row r="942" spans="1:1" ht="14.25" customHeight="1" x14ac:dyDescent="0.2">
      <c r="A942" s="61"/>
    </row>
    <row r="943" spans="1:1" ht="14.25" customHeight="1" x14ac:dyDescent="0.2">
      <c r="A943" s="61"/>
    </row>
    <row r="944" spans="1:1" ht="14.25" customHeight="1" x14ac:dyDescent="0.2">
      <c r="A944" s="61"/>
    </row>
    <row r="945" spans="1:1" ht="14.25" customHeight="1" x14ac:dyDescent="0.2">
      <c r="A945" s="61"/>
    </row>
    <row r="946" spans="1:1" ht="14.25" customHeight="1" x14ac:dyDescent="0.2">
      <c r="A946" s="61"/>
    </row>
    <row r="947" spans="1:1" ht="14.25" customHeight="1" x14ac:dyDescent="0.2">
      <c r="A947" s="61"/>
    </row>
    <row r="948" spans="1:1" ht="14.25" customHeight="1" x14ac:dyDescent="0.2">
      <c r="A948" s="61"/>
    </row>
    <row r="949" spans="1:1" ht="14.25" customHeight="1" x14ac:dyDescent="0.2">
      <c r="A949" s="61"/>
    </row>
    <row r="950" spans="1:1" ht="14.25" customHeight="1" x14ac:dyDescent="0.2">
      <c r="A950" s="61"/>
    </row>
    <row r="951" spans="1:1" ht="14.25" customHeight="1" x14ac:dyDescent="0.2">
      <c r="A951" s="61"/>
    </row>
    <row r="952" spans="1:1" ht="14.25" customHeight="1" x14ac:dyDescent="0.2">
      <c r="A952" s="61"/>
    </row>
    <row r="953" spans="1:1" ht="14.25" customHeight="1" x14ac:dyDescent="0.2">
      <c r="A953" s="61"/>
    </row>
    <row r="954" spans="1:1" ht="14.25" customHeight="1" x14ac:dyDescent="0.2">
      <c r="A954" s="61"/>
    </row>
    <row r="955" spans="1:1" ht="14.25" customHeight="1" x14ac:dyDescent="0.2">
      <c r="A955" s="61"/>
    </row>
    <row r="956" spans="1:1" ht="14.25" customHeight="1" x14ac:dyDescent="0.2">
      <c r="A956" s="61"/>
    </row>
    <row r="957" spans="1:1" ht="14.25" customHeight="1" x14ac:dyDescent="0.2">
      <c r="A957" s="61"/>
    </row>
    <row r="958" spans="1:1" ht="14.25" customHeight="1" x14ac:dyDescent="0.2">
      <c r="A958" s="61"/>
    </row>
    <row r="959" spans="1:1" ht="14.25" customHeight="1" x14ac:dyDescent="0.2">
      <c r="A959" s="61"/>
    </row>
    <row r="960" spans="1:1" ht="14.25" customHeight="1" x14ac:dyDescent="0.2">
      <c r="A960" s="61"/>
    </row>
    <row r="961" spans="1:1" ht="14.25" customHeight="1" x14ac:dyDescent="0.2">
      <c r="A961" s="61"/>
    </row>
    <row r="962" spans="1:1" ht="14.25" customHeight="1" x14ac:dyDescent="0.2">
      <c r="A962" s="61"/>
    </row>
    <row r="963" spans="1:1" ht="14.25" customHeight="1" x14ac:dyDescent="0.2">
      <c r="A963" s="61"/>
    </row>
    <row r="964" spans="1:1" ht="14.25" customHeight="1" x14ac:dyDescent="0.2">
      <c r="A964" s="61"/>
    </row>
    <row r="965" spans="1:1" ht="14.25" customHeight="1" x14ac:dyDescent="0.2">
      <c r="A965" s="61"/>
    </row>
    <row r="966" spans="1:1" ht="14.25" customHeight="1" x14ac:dyDescent="0.2">
      <c r="A966" s="61"/>
    </row>
    <row r="967" spans="1:1" ht="14.25" customHeight="1" x14ac:dyDescent="0.2">
      <c r="A967" s="61"/>
    </row>
    <row r="968" spans="1:1" ht="14.25" customHeight="1" x14ac:dyDescent="0.2">
      <c r="A968" s="61"/>
    </row>
    <row r="969" spans="1:1" ht="14.25" customHeight="1" x14ac:dyDescent="0.2">
      <c r="A969" s="61"/>
    </row>
    <row r="970" spans="1:1" ht="14.25" customHeight="1" x14ac:dyDescent="0.2">
      <c r="A970" s="61"/>
    </row>
    <row r="971" spans="1:1" ht="14.25" customHeight="1" x14ac:dyDescent="0.2">
      <c r="A971" s="61"/>
    </row>
    <row r="972" spans="1:1" ht="14.25" customHeight="1" x14ac:dyDescent="0.2">
      <c r="A972" s="61"/>
    </row>
    <row r="973" spans="1:1" ht="14.25" customHeight="1" x14ac:dyDescent="0.2">
      <c r="A973" s="61"/>
    </row>
    <row r="974" spans="1:1" ht="14.25" customHeight="1" x14ac:dyDescent="0.2">
      <c r="A974" s="61"/>
    </row>
    <row r="975" spans="1:1" ht="14.25" customHeight="1" x14ac:dyDescent="0.2">
      <c r="A975" s="61"/>
    </row>
    <row r="976" spans="1:1" ht="14.25" customHeight="1" x14ac:dyDescent="0.2">
      <c r="A976" s="61"/>
    </row>
    <row r="977" spans="1:1" ht="14.25" customHeight="1" x14ac:dyDescent="0.2">
      <c r="A977" s="61"/>
    </row>
    <row r="978" spans="1:1" ht="14.25" customHeight="1" x14ac:dyDescent="0.2">
      <c r="A978" s="61"/>
    </row>
    <row r="979" spans="1:1" ht="14.25" customHeight="1" x14ac:dyDescent="0.2">
      <c r="A979" s="61"/>
    </row>
    <row r="980" spans="1:1" ht="14.25" customHeight="1" x14ac:dyDescent="0.2">
      <c r="A980" s="61"/>
    </row>
    <row r="981" spans="1:1" ht="14.25" customHeight="1" x14ac:dyDescent="0.2">
      <c r="A981" s="61"/>
    </row>
    <row r="982" spans="1:1" ht="14.25" customHeight="1" x14ac:dyDescent="0.2">
      <c r="A982" s="61"/>
    </row>
    <row r="983" spans="1:1" ht="14.25" customHeight="1" x14ac:dyDescent="0.2">
      <c r="A983" s="61"/>
    </row>
    <row r="984" spans="1:1" ht="14.25" customHeight="1" x14ac:dyDescent="0.2">
      <c r="A984" s="61"/>
    </row>
    <row r="985" spans="1:1" ht="14.25" customHeight="1" x14ac:dyDescent="0.2">
      <c r="A985" s="61"/>
    </row>
    <row r="986" spans="1:1" ht="14.25" customHeight="1" x14ac:dyDescent="0.2">
      <c r="A986" s="61"/>
    </row>
    <row r="987" spans="1:1" ht="14.25" customHeight="1" x14ac:dyDescent="0.2">
      <c r="A987" s="61"/>
    </row>
    <row r="988" spans="1:1" ht="14.25" customHeight="1" x14ac:dyDescent="0.2">
      <c r="A988" s="61"/>
    </row>
    <row r="989" spans="1:1" ht="14.25" customHeight="1" x14ac:dyDescent="0.2">
      <c r="A989" s="61"/>
    </row>
    <row r="990" spans="1:1" ht="14.25" customHeight="1" x14ac:dyDescent="0.2">
      <c r="A990" s="61"/>
    </row>
    <row r="991" spans="1:1" ht="14.25" customHeight="1" x14ac:dyDescent="0.2">
      <c r="A991" s="61"/>
    </row>
    <row r="992" spans="1:1" ht="14.25" customHeight="1" x14ac:dyDescent="0.2">
      <c r="A992" s="61"/>
    </row>
    <row r="993" spans="1:1" ht="14.25" customHeight="1" x14ac:dyDescent="0.2">
      <c r="A993" s="61"/>
    </row>
    <row r="994" spans="1:1" ht="14.25" customHeight="1" x14ac:dyDescent="0.2">
      <c r="A994" s="61"/>
    </row>
    <row r="995" spans="1:1" ht="14.25" customHeight="1" x14ac:dyDescent="0.2">
      <c r="A995" s="61"/>
    </row>
    <row r="996" spans="1:1" ht="14.25" customHeight="1" x14ac:dyDescent="0.2">
      <c r="A996" s="61"/>
    </row>
    <row r="997" spans="1:1" ht="14.25" customHeight="1" x14ac:dyDescent="0.2">
      <c r="A997" s="61"/>
    </row>
    <row r="998" spans="1:1" ht="14.25" customHeight="1" x14ac:dyDescent="0.2">
      <c r="A998" s="61"/>
    </row>
    <row r="999" spans="1:1" ht="14.25" customHeight="1" x14ac:dyDescent="0.2">
      <c r="A999" s="61"/>
    </row>
    <row r="1000" spans="1:1" ht="14.25" customHeight="1" x14ac:dyDescent="0.2">
      <c r="A1000" s="61"/>
    </row>
  </sheetData>
  <mergeCells count="71">
    <mergeCell ref="B35:F37"/>
    <mergeCell ref="B38:F38"/>
    <mergeCell ref="B39:F39"/>
    <mergeCell ref="B58:F58"/>
    <mergeCell ref="B59:F59"/>
    <mergeCell ref="B60:F61"/>
    <mergeCell ref="B62:F63"/>
    <mergeCell ref="B64:F66"/>
    <mergeCell ref="H67:H71"/>
    <mergeCell ref="I67:I71"/>
    <mergeCell ref="J67:J70"/>
    <mergeCell ref="B72:F72"/>
    <mergeCell ref="B73:F73"/>
    <mergeCell ref="B67:F71"/>
    <mergeCell ref="B74:F75"/>
    <mergeCell ref="G84:H84"/>
    <mergeCell ref="G85:H85"/>
    <mergeCell ref="B87:I88"/>
    <mergeCell ref="G92:I93"/>
    <mergeCell ref="B76:F76"/>
    <mergeCell ref="B77:F77"/>
    <mergeCell ref="B79:F79"/>
    <mergeCell ref="B81:F81"/>
    <mergeCell ref="B82:F82"/>
    <mergeCell ref="B83:F83"/>
    <mergeCell ref="G83:H83"/>
    <mergeCell ref="G6:H6"/>
    <mergeCell ref="G7:H7"/>
    <mergeCell ref="A2:E2"/>
    <mergeCell ref="A3:D3"/>
    <mergeCell ref="A4:D4"/>
    <mergeCell ref="G4:H4"/>
    <mergeCell ref="A5:D5"/>
    <mergeCell ref="G5:H5"/>
    <mergeCell ref="A6:D6"/>
    <mergeCell ref="A9:D9"/>
    <mergeCell ref="A10:D13"/>
    <mergeCell ref="A14:D14"/>
    <mergeCell ref="B16:F16"/>
    <mergeCell ref="B17:F17"/>
    <mergeCell ref="B18:F18"/>
    <mergeCell ref="B19:F19"/>
    <mergeCell ref="G23:G24"/>
    <mergeCell ref="H23:H24"/>
    <mergeCell ref="B20:F20"/>
    <mergeCell ref="A21:A22"/>
    <mergeCell ref="B21:F22"/>
    <mergeCell ref="G21:G22"/>
    <mergeCell ref="H21:H22"/>
    <mergeCell ref="I21:I22"/>
    <mergeCell ref="I23:I24"/>
    <mergeCell ref="B23:F24"/>
    <mergeCell ref="B25:F25"/>
    <mergeCell ref="B26:F26"/>
    <mergeCell ref="B27:F27"/>
    <mergeCell ref="B28:F28"/>
    <mergeCell ref="B29:F29"/>
    <mergeCell ref="B30:F32"/>
    <mergeCell ref="B55:F55"/>
    <mergeCell ref="B57:F57"/>
    <mergeCell ref="B49:F49"/>
    <mergeCell ref="B51:F51"/>
    <mergeCell ref="B52:F52"/>
    <mergeCell ref="B53:F53"/>
    <mergeCell ref="B40:F40"/>
    <mergeCell ref="B41:F41"/>
    <mergeCell ref="B42:F42"/>
    <mergeCell ref="B43:F45"/>
    <mergeCell ref="B46:F46"/>
    <mergeCell ref="B33:F33"/>
    <mergeCell ref="B34:F34"/>
  </mergeCells>
  <hyperlinks>
    <hyperlink ref="K3" r:id="rId1" xr:uid="{00000000-0004-0000-0F00-000000000000}"/>
  </hyperlinks>
  <printOptions horizontalCentered="1"/>
  <pageMargins left="0.5" right="0.5" top="0.5" bottom="0.5" header="0" footer="0"/>
  <pageSetup orientation="portrait"/>
  <rowBreaks count="1" manualBreakCount="1">
    <brk id="48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14.25" customHeight="1" x14ac:dyDescent="0.2">
      <c r="A1" s="2" t="s">
        <v>0</v>
      </c>
      <c r="C1" s="2"/>
      <c r="D1" s="2"/>
      <c r="E1" s="2"/>
      <c r="F1" s="3"/>
      <c r="H1" s="4"/>
      <c r="I1" s="5" t="s">
        <v>1</v>
      </c>
    </row>
    <row r="2" spans="1:11" ht="14.25" customHeight="1" x14ac:dyDescent="0.2">
      <c r="A2" s="6" t="s">
        <v>2</v>
      </c>
      <c r="C2" s="6"/>
      <c r="D2" s="6"/>
      <c r="E2" s="6"/>
      <c r="F2" s="6"/>
      <c r="G2" s="6"/>
      <c r="H2" s="7"/>
      <c r="I2" s="7"/>
      <c r="K2" s="8" t="s">
        <v>3</v>
      </c>
    </row>
    <row r="3" spans="1:11" ht="14.25" customHeight="1" x14ac:dyDescent="0.2">
      <c r="A3" s="6" t="s">
        <v>4</v>
      </c>
      <c r="C3" s="6"/>
      <c r="D3" s="6"/>
      <c r="E3" s="6"/>
      <c r="F3" s="6"/>
      <c r="K3" s="9" t="s">
        <v>5</v>
      </c>
    </row>
    <row r="4" spans="1:11" ht="14.25" customHeight="1" x14ac:dyDescent="0.2">
      <c r="A4" s="6" t="s">
        <v>6</v>
      </c>
      <c r="C4" s="123"/>
      <c r="D4" s="123"/>
      <c r="E4" s="6"/>
      <c r="F4" s="6"/>
      <c r="G4" s="186" t="s">
        <v>132</v>
      </c>
      <c r="H4" s="169"/>
      <c r="I4" s="10" t="s">
        <v>8</v>
      </c>
      <c r="K4" s="8"/>
    </row>
    <row r="5" spans="1:11" ht="14.25" customHeight="1" x14ac:dyDescent="0.2">
      <c r="A5" s="6" t="s">
        <v>9</v>
      </c>
      <c r="C5" s="6"/>
      <c r="D5" s="6"/>
      <c r="E5" s="6"/>
      <c r="F5" s="6"/>
      <c r="G5" s="205">
        <v>2291</v>
      </c>
      <c r="H5" s="169"/>
      <c r="I5" s="11">
        <v>44827</v>
      </c>
      <c r="K5" s="12" t="s">
        <v>10</v>
      </c>
    </row>
    <row r="6" spans="1:11" ht="14.25" customHeight="1" x14ac:dyDescent="0.2">
      <c r="A6" s="6" t="s">
        <v>11</v>
      </c>
      <c r="C6" s="6"/>
      <c r="D6" s="6"/>
      <c r="E6" s="6"/>
      <c r="F6" s="6"/>
      <c r="G6" s="186" t="s">
        <v>134</v>
      </c>
      <c r="H6" s="169"/>
      <c r="I6" s="10" t="s">
        <v>135</v>
      </c>
      <c r="K6" s="12"/>
    </row>
    <row r="7" spans="1:11" ht="14.25" customHeight="1" x14ac:dyDescent="0.2">
      <c r="B7" s="6"/>
      <c r="C7" s="6"/>
      <c r="D7" s="6"/>
      <c r="E7" s="6"/>
      <c r="F7" s="6"/>
      <c r="G7" s="205"/>
      <c r="H7" s="169"/>
      <c r="I7" s="11">
        <f>I5+15</f>
        <v>44842</v>
      </c>
      <c r="K7" s="8"/>
    </row>
    <row r="8" spans="1:11" ht="18" customHeight="1" x14ac:dyDescent="0.2">
      <c r="B8" s="6"/>
      <c r="C8" s="6"/>
      <c r="D8" s="6"/>
      <c r="E8" s="6"/>
      <c r="F8" s="6"/>
      <c r="G8" s="15"/>
      <c r="H8" s="15"/>
      <c r="I8" s="16"/>
      <c r="K8" s="8"/>
    </row>
    <row r="9" spans="1:11" ht="19.5" customHeight="1" x14ac:dyDescent="0.2">
      <c r="A9" s="172" t="s">
        <v>12</v>
      </c>
      <c r="B9" s="173"/>
      <c r="C9" s="173"/>
      <c r="D9" s="174"/>
      <c r="E9" s="6"/>
      <c r="H9" s="17" t="s">
        <v>13</v>
      </c>
      <c r="I9" s="18"/>
      <c r="K9" s="19"/>
    </row>
    <row r="10" spans="1:11" ht="14.25" customHeight="1" x14ac:dyDescent="0.2">
      <c r="A10" s="6" t="s">
        <v>254</v>
      </c>
      <c r="C10" s="6"/>
      <c r="D10" s="6"/>
      <c r="E10" s="6"/>
      <c r="H10" s="17"/>
      <c r="I10" s="18"/>
      <c r="K10" s="19"/>
    </row>
    <row r="11" spans="1:11" ht="14.25" customHeight="1" x14ac:dyDescent="0.2">
      <c r="A11" s="6" t="s">
        <v>255</v>
      </c>
      <c r="C11" s="6"/>
      <c r="D11" s="6"/>
      <c r="E11" s="6"/>
      <c r="H11" s="17"/>
      <c r="I11" s="18"/>
      <c r="K11" s="19"/>
    </row>
    <row r="12" spans="1:11" ht="14.25" customHeight="1" x14ac:dyDescent="0.2">
      <c r="A12" s="6" t="s">
        <v>256</v>
      </c>
      <c r="C12" s="6"/>
      <c r="D12" s="6"/>
      <c r="E12" s="6"/>
    </row>
    <row r="13" spans="1:11" ht="14.25" customHeight="1" x14ac:dyDescent="0.2">
      <c r="A13" s="6" t="s">
        <v>257</v>
      </c>
      <c r="C13" s="6"/>
      <c r="D13" s="6"/>
      <c r="E13" s="6"/>
    </row>
    <row r="14" spans="1:11" ht="14.25" customHeight="1" x14ac:dyDescent="0.2">
      <c r="A14" s="6" t="s">
        <v>258</v>
      </c>
      <c r="C14" s="6"/>
      <c r="D14" s="6"/>
      <c r="E14" s="6"/>
    </row>
    <row r="15" spans="1:11" ht="14.25" customHeight="1" x14ac:dyDescent="0.2">
      <c r="A15" s="6" t="s">
        <v>259</v>
      </c>
      <c r="C15" s="6"/>
      <c r="D15" s="6"/>
      <c r="E15" s="6"/>
      <c r="F15" s="6"/>
    </row>
    <row r="16" spans="1:11" ht="14.25" customHeight="1" x14ac:dyDescent="0.2">
      <c r="B16" s="6"/>
      <c r="C16" s="6"/>
      <c r="D16" s="6"/>
      <c r="E16" s="6"/>
      <c r="F16" s="6"/>
      <c r="G16" s="6"/>
      <c r="H16" s="6"/>
      <c r="I16" s="6"/>
      <c r="K16" s="19"/>
    </row>
    <row r="17" spans="1:16" ht="19.5" customHeight="1" x14ac:dyDescent="0.2">
      <c r="A17" s="62" t="s">
        <v>16</v>
      </c>
      <c r="B17" s="186" t="s">
        <v>17</v>
      </c>
      <c r="C17" s="168"/>
      <c r="D17" s="168"/>
      <c r="E17" s="168"/>
      <c r="F17" s="169"/>
      <c r="G17" s="10" t="s">
        <v>18</v>
      </c>
      <c r="H17" s="10" t="s">
        <v>19</v>
      </c>
      <c r="I17" s="10" t="s">
        <v>20</v>
      </c>
      <c r="K17" s="19"/>
    </row>
    <row r="18" spans="1:16" ht="14.25" customHeight="1" x14ac:dyDescent="0.2">
      <c r="A18" s="71"/>
      <c r="B18" s="67"/>
      <c r="C18" s="20"/>
      <c r="D18" s="20"/>
      <c r="E18" s="20"/>
      <c r="F18" s="48"/>
      <c r="G18" s="26"/>
      <c r="H18" s="24"/>
      <c r="I18" s="24"/>
      <c r="J18" s="27"/>
      <c r="K18" s="19"/>
    </row>
    <row r="19" spans="1:16" ht="14.25" customHeight="1" x14ac:dyDescent="0.2">
      <c r="A19" s="71"/>
      <c r="B19" s="218" t="s">
        <v>247</v>
      </c>
      <c r="C19" s="165"/>
      <c r="D19" s="165"/>
      <c r="E19" s="165"/>
      <c r="F19" s="189"/>
      <c r="G19" s="26"/>
      <c r="H19" s="24"/>
      <c r="I19" s="24"/>
      <c r="J19" s="27"/>
      <c r="K19" s="19"/>
    </row>
    <row r="20" spans="1:16" ht="14.25" customHeight="1" x14ac:dyDescent="0.2">
      <c r="A20" s="71"/>
      <c r="B20" s="65"/>
      <c r="C20" s="35"/>
      <c r="D20" s="35"/>
      <c r="E20" s="35"/>
      <c r="F20" s="45"/>
      <c r="G20" s="26"/>
      <c r="H20" s="24"/>
      <c r="I20" s="24"/>
      <c r="J20" s="27"/>
      <c r="K20" s="19"/>
    </row>
    <row r="21" spans="1:16" ht="14.25" customHeight="1" x14ac:dyDescent="0.2">
      <c r="A21" s="71">
        <v>1</v>
      </c>
      <c r="B21" s="196" t="s">
        <v>260</v>
      </c>
      <c r="C21" s="165"/>
      <c r="D21" s="165"/>
      <c r="E21" s="165"/>
      <c r="F21" s="189"/>
      <c r="G21" s="118">
        <v>1</v>
      </c>
      <c r="H21" s="119">
        <v>3990</v>
      </c>
      <c r="I21" s="120">
        <v>3990</v>
      </c>
      <c r="J21" s="124">
        <v>3000</v>
      </c>
      <c r="K21" s="19"/>
    </row>
    <row r="22" spans="1:16" ht="14.25" customHeight="1" x14ac:dyDescent="0.2">
      <c r="A22" s="71"/>
      <c r="B22" s="214"/>
      <c r="C22" s="165"/>
      <c r="D22" s="165"/>
      <c r="E22" s="165"/>
      <c r="F22" s="189"/>
      <c r="G22" s="118"/>
      <c r="H22" s="119"/>
      <c r="I22" s="120"/>
      <c r="J22" s="124"/>
      <c r="K22" s="19"/>
    </row>
    <row r="23" spans="1:16" ht="14.25" customHeight="1" x14ac:dyDescent="0.2">
      <c r="A23" s="71">
        <v>2</v>
      </c>
      <c r="B23" s="196" t="s">
        <v>261</v>
      </c>
      <c r="C23" s="165"/>
      <c r="D23" s="165"/>
      <c r="E23" s="165"/>
      <c r="F23" s="189"/>
      <c r="G23" s="118">
        <v>1</v>
      </c>
      <c r="H23" s="119">
        <v>799</v>
      </c>
      <c r="I23" s="119">
        <v>789</v>
      </c>
      <c r="J23" s="27">
        <v>580</v>
      </c>
      <c r="K23" s="19"/>
    </row>
    <row r="24" spans="1:16" ht="14.25" customHeight="1" x14ac:dyDescent="0.2">
      <c r="A24" s="71">
        <v>3</v>
      </c>
      <c r="B24" s="196" t="s">
        <v>262</v>
      </c>
      <c r="C24" s="165"/>
      <c r="D24" s="165"/>
      <c r="E24" s="165"/>
      <c r="F24" s="189"/>
      <c r="G24" s="118">
        <v>1</v>
      </c>
      <c r="H24" s="119">
        <v>1250</v>
      </c>
      <c r="I24" s="119">
        <v>1250</v>
      </c>
      <c r="J24" s="27">
        <v>850</v>
      </c>
      <c r="K24" s="19"/>
    </row>
    <row r="25" spans="1:16" ht="14.25" customHeight="1" x14ac:dyDescent="0.2">
      <c r="A25" s="71">
        <v>4</v>
      </c>
      <c r="B25" s="196" t="s">
        <v>49</v>
      </c>
      <c r="C25" s="165"/>
      <c r="D25" s="165"/>
      <c r="E25" s="165"/>
      <c r="F25" s="189"/>
      <c r="G25" s="118">
        <v>1</v>
      </c>
      <c r="H25" s="119">
        <v>300</v>
      </c>
      <c r="I25" s="119">
        <v>300</v>
      </c>
      <c r="J25" s="27">
        <v>100</v>
      </c>
      <c r="K25" s="19"/>
    </row>
    <row r="26" spans="1:16" ht="14.25" customHeight="1" x14ac:dyDescent="0.2">
      <c r="A26" s="71">
        <v>5</v>
      </c>
      <c r="B26" s="196" t="s">
        <v>263</v>
      </c>
      <c r="C26" s="165"/>
      <c r="D26" s="165"/>
      <c r="E26" s="165"/>
      <c r="F26" s="189"/>
      <c r="G26" s="118">
        <v>1</v>
      </c>
      <c r="H26" s="119">
        <v>60</v>
      </c>
      <c r="I26" s="119">
        <v>60</v>
      </c>
      <c r="J26" s="27">
        <v>50</v>
      </c>
      <c r="K26" s="19"/>
    </row>
    <row r="27" spans="1:16" ht="14.25" customHeight="1" x14ac:dyDescent="0.2">
      <c r="A27" s="71">
        <v>6</v>
      </c>
      <c r="B27" s="196" t="s">
        <v>264</v>
      </c>
      <c r="C27" s="165"/>
      <c r="D27" s="165"/>
      <c r="E27" s="165"/>
      <c r="F27" s="189"/>
      <c r="G27" s="118">
        <v>1</v>
      </c>
      <c r="H27" s="119">
        <v>285</v>
      </c>
      <c r="I27" s="119">
        <v>285</v>
      </c>
      <c r="J27" s="27">
        <v>150</v>
      </c>
      <c r="K27" s="19"/>
    </row>
    <row r="28" spans="1:16" ht="14.25" customHeight="1" x14ac:dyDescent="0.2">
      <c r="A28" s="71"/>
      <c r="B28" s="214"/>
      <c r="C28" s="165"/>
      <c r="D28" s="165"/>
      <c r="E28" s="165"/>
      <c r="F28" s="189"/>
      <c r="G28" s="118"/>
      <c r="H28" s="119"/>
      <c r="I28" s="119"/>
      <c r="J28" s="27"/>
      <c r="K28" s="19"/>
    </row>
    <row r="29" spans="1:16" ht="14.25" customHeight="1" x14ac:dyDescent="0.2">
      <c r="A29" s="71">
        <v>7</v>
      </c>
      <c r="B29" s="196" t="s">
        <v>265</v>
      </c>
      <c r="C29" s="165"/>
      <c r="D29" s="165"/>
      <c r="E29" s="165"/>
      <c r="F29" s="189"/>
      <c r="G29" s="118">
        <v>1</v>
      </c>
      <c r="H29" s="119">
        <v>450</v>
      </c>
      <c r="I29" s="119">
        <v>450</v>
      </c>
      <c r="J29" s="27">
        <v>300</v>
      </c>
      <c r="K29" s="19"/>
    </row>
    <row r="30" spans="1:16" ht="14.25" customHeight="1" x14ac:dyDescent="0.2">
      <c r="A30" s="71"/>
      <c r="B30" s="214"/>
      <c r="C30" s="165"/>
      <c r="D30" s="165"/>
      <c r="E30" s="165"/>
      <c r="F30" s="189"/>
      <c r="G30" s="118"/>
      <c r="H30" s="119"/>
      <c r="I30" s="119"/>
      <c r="J30" s="27"/>
      <c r="K30" s="19"/>
    </row>
    <row r="31" spans="1:16" ht="14.25" customHeight="1" x14ac:dyDescent="0.2">
      <c r="A31" s="71">
        <v>8</v>
      </c>
      <c r="B31" s="196" t="s">
        <v>266</v>
      </c>
      <c r="C31" s="165"/>
      <c r="D31" s="165"/>
      <c r="E31" s="165"/>
      <c r="F31" s="189"/>
      <c r="G31" s="118">
        <v>1</v>
      </c>
      <c r="H31" s="119">
        <v>389</v>
      </c>
      <c r="I31" s="119">
        <v>389</v>
      </c>
      <c r="J31" s="27">
        <v>302</v>
      </c>
      <c r="K31" s="19"/>
    </row>
    <row r="32" spans="1:16" ht="14.25" customHeight="1" x14ac:dyDescent="0.2">
      <c r="A32" s="71"/>
      <c r="B32" s="214"/>
      <c r="C32" s="165"/>
      <c r="D32" s="165"/>
      <c r="E32" s="165"/>
      <c r="F32" s="189"/>
      <c r="G32" s="118"/>
      <c r="H32" s="119"/>
      <c r="I32" s="119"/>
      <c r="J32" s="27"/>
      <c r="K32" s="19"/>
      <c r="P32" s="46" t="s">
        <v>267</v>
      </c>
    </row>
    <row r="33" spans="1:14" ht="14.25" customHeight="1" x14ac:dyDescent="0.2">
      <c r="A33" s="71">
        <v>9</v>
      </c>
      <c r="B33" s="196" t="s">
        <v>268</v>
      </c>
      <c r="C33" s="165"/>
      <c r="D33" s="165"/>
      <c r="E33" s="165"/>
      <c r="F33" s="189"/>
      <c r="G33" s="118">
        <v>1</v>
      </c>
      <c r="H33" s="119">
        <v>75</v>
      </c>
      <c r="I33" s="119">
        <v>75</v>
      </c>
      <c r="J33" s="27">
        <v>50</v>
      </c>
      <c r="K33" s="19"/>
    </row>
    <row r="34" spans="1:14" ht="14.25" customHeight="1" x14ac:dyDescent="0.2">
      <c r="A34" s="71"/>
      <c r="B34" s="214"/>
      <c r="C34" s="165"/>
      <c r="D34" s="165"/>
      <c r="E34" s="165"/>
      <c r="F34" s="189"/>
      <c r="G34" s="118"/>
      <c r="H34" s="119"/>
      <c r="I34" s="119"/>
      <c r="J34" s="27"/>
      <c r="K34" s="19"/>
    </row>
    <row r="35" spans="1:14" ht="14.25" customHeight="1" x14ac:dyDescent="0.2">
      <c r="A35" s="71">
        <v>10</v>
      </c>
      <c r="B35" s="196" t="s">
        <v>269</v>
      </c>
      <c r="C35" s="165"/>
      <c r="D35" s="165"/>
      <c r="E35" s="165"/>
      <c r="F35" s="189"/>
      <c r="G35" s="118">
        <v>1</v>
      </c>
      <c r="H35" s="119">
        <v>285</v>
      </c>
      <c r="I35" s="119">
        <v>285</v>
      </c>
      <c r="J35" s="27">
        <v>235</v>
      </c>
      <c r="K35" s="19"/>
    </row>
    <row r="36" spans="1:14" ht="14.25" customHeight="1" x14ac:dyDescent="0.2">
      <c r="A36" s="71"/>
      <c r="B36" s="214"/>
      <c r="C36" s="165"/>
      <c r="D36" s="165"/>
      <c r="E36" s="165"/>
      <c r="F36" s="189"/>
      <c r="G36" s="121"/>
      <c r="H36" s="24"/>
      <c r="I36" s="24"/>
      <c r="J36" s="27"/>
      <c r="K36" s="19"/>
    </row>
    <row r="37" spans="1:14" ht="14.25" customHeight="1" x14ac:dyDescent="0.2">
      <c r="A37" s="71">
        <v>11</v>
      </c>
      <c r="B37" s="197" t="s">
        <v>270</v>
      </c>
      <c r="C37" s="165"/>
      <c r="D37" s="165"/>
      <c r="E37" s="165"/>
      <c r="F37" s="189"/>
      <c r="G37" s="26">
        <v>1</v>
      </c>
      <c r="H37" s="33">
        <v>285</v>
      </c>
      <c r="I37" s="33">
        <v>285</v>
      </c>
      <c r="J37" s="27">
        <v>150</v>
      </c>
      <c r="K37" s="19"/>
    </row>
    <row r="38" spans="1:14" ht="14.25" customHeight="1" x14ac:dyDescent="0.2">
      <c r="A38" s="71"/>
      <c r="B38" s="214"/>
      <c r="C38" s="165"/>
      <c r="D38" s="165"/>
      <c r="E38" s="165"/>
      <c r="F38" s="189"/>
      <c r="G38" s="26"/>
      <c r="H38" s="68"/>
      <c r="I38" s="68"/>
      <c r="J38" s="27"/>
      <c r="K38" s="19"/>
    </row>
    <row r="39" spans="1:14" ht="14.25" customHeight="1" x14ac:dyDescent="0.2">
      <c r="A39" s="71"/>
      <c r="B39" s="214"/>
      <c r="C39" s="165"/>
      <c r="D39" s="165"/>
      <c r="E39" s="165"/>
      <c r="F39" s="189"/>
      <c r="G39" s="26"/>
      <c r="H39" s="68"/>
      <c r="I39" s="68"/>
      <c r="J39" s="27"/>
      <c r="K39" s="19"/>
    </row>
    <row r="40" spans="1:14" ht="10.5" customHeight="1" x14ac:dyDescent="0.2">
      <c r="A40" s="71"/>
      <c r="B40" s="214"/>
      <c r="C40" s="165"/>
      <c r="D40" s="165"/>
      <c r="E40" s="165"/>
      <c r="F40" s="189"/>
      <c r="G40" s="26"/>
      <c r="H40" s="68"/>
      <c r="I40" s="68"/>
      <c r="J40" s="27"/>
      <c r="K40" s="19"/>
    </row>
    <row r="41" spans="1:14" ht="14.25" customHeight="1" x14ac:dyDescent="0.2">
      <c r="A41" s="71">
        <v>12</v>
      </c>
      <c r="B41" s="197" t="s">
        <v>271</v>
      </c>
      <c r="C41" s="165"/>
      <c r="D41" s="165"/>
      <c r="E41" s="165"/>
      <c r="F41" s="189"/>
      <c r="G41" s="26">
        <v>1</v>
      </c>
      <c r="H41" s="221">
        <v>5699</v>
      </c>
      <c r="I41" s="221">
        <v>5699</v>
      </c>
      <c r="J41" s="228">
        <v>5180.8</v>
      </c>
      <c r="K41" s="19"/>
    </row>
    <row r="42" spans="1:14" ht="14.25" customHeight="1" x14ac:dyDescent="0.2">
      <c r="A42" s="71"/>
      <c r="B42" s="214"/>
      <c r="C42" s="165"/>
      <c r="D42" s="165"/>
      <c r="E42" s="165"/>
      <c r="F42" s="189"/>
      <c r="H42" s="194"/>
      <c r="I42" s="194"/>
      <c r="J42" s="165"/>
      <c r="K42" s="19"/>
    </row>
    <row r="43" spans="1:14" ht="14.25" customHeight="1" x14ac:dyDescent="0.2">
      <c r="A43" s="71"/>
      <c r="B43" s="214"/>
      <c r="C43" s="165"/>
      <c r="D43" s="165"/>
      <c r="E43" s="165"/>
      <c r="F43" s="189"/>
      <c r="G43" s="26"/>
      <c r="H43" s="194"/>
      <c r="I43" s="194"/>
      <c r="J43" s="165"/>
      <c r="K43" s="19"/>
      <c r="N43" s="122">
        <f>SUM(I37:I74)</f>
        <v>9198</v>
      </c>
    </row>
    <row r="44" spans="1:14" ht="14.25" customHeight="1" x14ac:dyDescent="0.2">
      <c r="A44" s="71"/>
      <c r="B44" s="214"/>
      <c r="C44" s="165"/>
      <c r="D44" s="165"/>
      <c r="E44" s="165"/>
      <c r="F44" s="189"/>
      <c r="G44" s="26"/>
      <c r="H44" s="194"/>
      <c r="I44" s="194"/>
      <c r="J44" s="165"/>
      <c r="K44" s="19"/>
    </row>
    <row r="45" spans="1:14" ht="22.5" customHeight="1" x14ac:dyDescent="0.2">
      <c r="A45" s="71"/>
      <c r="B45" s="214"/>
      <c r="C45" s="165"/>
      <c r="D45" s="165"/>
      <c r="E45" s="165"/>
      <c r="F45" s="189"/>
      <c r="G45" s="26"/>
      <c r="H45" s="194"/>
      <c r="I45" s="194"/>
      <c r="J45" s="27"/>
      <c r="K45" s="19"/>
    </row>
    <row r="46" spans="1:14" ht="14.25" customHeight="1" x14ac:dyDescent="0.2">
      <c r="A46" s="71">
        <v>13</v>
      </c>
      <c r="B46" s="197" t="s">
        <v>272</v>
      </c>
      <c r="C46" s="165"/>
      <c r="D46" s="165"/>
      <c r="E46" s="165"/>
      <c r="F46" s="189"/>
      <c r="G46" s="26">
        <v>1</v>
      </c>
      <c r="H46" s="33">
        <v>500</v>
      </c>
      <c r="I46" s="33">
        <v>500</v>
      </c>
      <c r="J46" s="27">
        <v>200</v>
      </c>
      <c r="K46" s="19"/>
    </row>
    <row r="47" spans="1:14" ht="14.25" customHeight="1" x14ac:dyDescent="0.2">
      <c r="A47" s="71"/>
      <c r="B47" s="214"/>
      <c r="C47" s="165"/>
      <c r="D47" s="165"/>
      <c r="E47" s="165"/>
      <c r="F47" s="189"/>
      <c r="G47" s="26"/>
      <c r="H47" s="33"/>
      <c r="I47" s="33"/>
      <c r="J47" s="27"/>
      <c r="K47" s="19"/>
      <c r="N47" s="122" t="e">
        <f>SUM(#REF!,N43,#REF!)</f>
        <v>#REF!</v>
      </c>
    </row>
    <row r="48" spans="1:14" ht="14.25" customHeight="1" x14ac:dyDescent="0.2">
      <c r="A48" s="46">
        <v>14</v>
      </c>
      <c r="B48" s="197" t="s">
        <v>58</v>
      </c>
      <c r="C48" s="165"/>
      <c r="D48" s="165"/>
      <c r="E48" s="165"/>
      <c r="F48" s="189"/>
      <c r="G48" s="26">
        <v>1</v>
      </c>
      <c r="H48" s="33">
        <v>900</v>
      </c>
      <c r="I48" s="33">
        <v>900</v>
      </c>
      <c r="J48" s="27">
        <v>300</v>
      </c>
      <c r="K48" s="19"/>
    </row>
    <row r="49" spans="1:11" ht="14.25" customHeight="1" x14ac:dyDescent="0.2">
      <c r="B49" s="70"/>
      <c r="C49" s="34"/>
      <c r="D49" s="34"/>
      <c r="E49" s="34"/>
      <c r="F49" s="36"/>
      <c r="G49" s="26"/>
      <c r="H49" s="33"/>
      <c r="I49" s="33"/>
      <c r="J49" s="27"/>
      <c r="K49" s="19"/>
    </row>
    <row r="50" spans="1:11" ht="14.25" customHeight="1" x14ac:dyDescent="0.2">
      <c r="A50" s="62" t="s">
        <v>16</v>
      </c>
      <c r="B50" s="186" t="s">
        <v>17</v>
      </c>
      <c r="C50" s="168"/>
      <c r="D50" s="168"/>
      <c r="E50" s="168"/>
      <c r="F50" s="169"/>
      <c r="G50" s="10" t="s">
        <v>18</v>
      </c>
      <c r="H50" s="10" t="s">
        <v>19</v>
      </c>
      <c r="I50" s="10" t="s">
        <v>20</v>
      </c>
      <c r="J50" s="27"/>
      <c r="K50" s="19"/>
    </row>
    <row r="51" spans="1:11" ht="14.25" customHeight="1" x14ac:dyDescent="0.2">
      <c r="A51" s="125"/>
      <c r="B51" s="224" t="s">
        <v>239</v>
      </c>
      <c r="C51" s="181"/>
      <c r="D51" s="181"/>
      <c r="E51" s="181"/>
      <c r="F51" s="182"/>
      <c r="G51" s="126"/>
      <c r="H51" s="126"/>
      <c r="I51" s="126"/>
      <c r="J51" s="27"/>
      <c r="K51" s="19"/>
    </row>
    <row r="52" spans="1:11" ht="14.25" customHeight="1" x14ac:dyDescent="0.2">
      <c r="A52" s="125"/>
      <c r="B52" s="214"/>
      <c r="C52" s="165"/>
      <c r="D52" s="165"/>
      <c r="E52" s="165"/>
      <c r="F52" s="189"/>
      <c r="G52" s="126"/>
      <c r="H52" s="126"/>
      <c r="I52" s="126"/>
      <c r="J52" s="27"/>
      <c r="K52" s="19"/>
    </row>
    <row r="53" spans="1:11" ht="14.25" customHeight="1" x14ac:dyDescent="0.2">
      <c r="A53" s="125"/>
      <c r="B53" s="225"/>
      <c r="C53" s="226"/>
      <c r="D53" s="226"/>
      <c r="E53" s="226"/>
      <c r="F53" s="227"/>
      <c r="G53" s="126"/>
      <c r="H53" s="126"/>
      <c r="I53" s="126"/>
      <c r="J53" s="27"/>
      <c r="K53" s="19"/>
    </row>
    <row r="54" spans="1:11" ht="14.25" customHeight="1" x14ac:dyDescent="0.2">
      <c r="A54" s="125"/>
      <c r="B54" s="127"/>
      <c r="C54" s="125"/>
      <c r="D54" s="125"/>
      <c r="E54" s="125"/>
      <c r="F54" s="128"/>
      <c r="G54" s="126"/>
      <c r="H54" s="126"/>
      <c r="I54" s="126"/>
      <c r="J54" s="27"/>
      <c r="K54" s="19"/>
    </row>
    <row r="55" spans="1:11" ht="14.25" customHeight="1" x14ac:dyDescent="0.2">
      <c r="A55" s="46">
        <v>1</v>
      </c>
      <c r="B55" s="196" t="s">
        <v>273</v>
      </c>
      <c r="C55" s="165"/>
      <c r="D55" s="165"/>
      <c r="E55" s="165"/>
      <c r="F55" s="189"/>
      <c r="G55" s="32">
        <v>1</v>
      </c>
      <c r="H55" s="33">
        <v>285</v>
      </c>
      <c r="I55" s="33">
        <v>285</v>
      </c>
      <c r="J55" s="27">
        <v>150</v>
      </c>
      <c r="K55" s="19"/>
    </row>
    <row r="56" spans="1:11" ht="14.25" customHeight="1" x14ac:dyDescent="0.2">
      <c r="B56" s="214"/>
      <c r="C56" s="165"/>
      <c r="D56" s="165"/>
      <c r="E56" s="165"/>
      <c r="F56" s="189"/>
      <c r="G56" s="32"/>
      <c r="H56" s="33"/>
      <c r="J56" s="27"/>
      <c r="K56" s="19"/>
    </row>
    <row r="57" spans="1:11" ht="14.25" customHeight="1" x14ac:dyDescent="0.2">
      <c r="B57" s="214"/>
      <c r="C57" s="165"/>
      <c r="D57" s="165"/>
      <c r="E57" s="165"/>
      <c r="F57" s="189"/>
      <c r="G57" s="32"/>
      <c r="H57" s="33"/>
      <c r="I57" s="33"/>
      <c r="J57" s="27"/>
      <c r="K57" s="19"/>
    </row>
    <row r="58" spans="1:11" ht="14.25" customHeight="1" x14ac:dyDescent="0.2">
      <c r="A58" s="46">
        <v>2</v>
      </c>
      <c r="B58" s="196" t="s">
        <v>274</v>
      </c>
      <c r="C58" s="165"/>
      <c r="D58" s="165"/>
      <c r="E58" s="165"/>
      <c r="F58" s="189"/>
      <c r="G58" s="32">
        <v>1</v>
      </c>
      <c r="H58" s="33">
        <v>430</v>
      </c>
      <c r="I58" s="33">
        <v>430</v>
      </c>
      <c r="J58" s="27">
        <v>330</v>
      </c>
      <c r="K58" s="19"/>
    </row>
    <row r="59" spans="1:11" ht="14.25" customHeight="1" x14ac:dyDescent="0.2">
      <c r="A59" s="46">
        <v>3</v>
      </c>
      <c r="B59" s="196" t="s">
        <v>275</v>
      </c>
      <c r="C59" s="165"/>
      <c r="D59" s="165"/>
      <c r="E59" s="165"/>
      <c r="F59" s="189"/>
      <c r="G59" s="32">
        <v>1</v>
      </c>
      <c r="H59" s="33">
        <v>499</v>
      </c>
      <c r="I59" s="33">
        <v>499</v>
      </c>
      <c r="J59" s="27">
        <v>399</v>
      </c>
      <c r="K59" s="19"/>
    </row>
    <row r="60" spans="1:11" ht="14.25" customHeight="1" x14ac:dyDescent="0.2">
      <c r="A60" s="46">
        <v>4</v>
      </c>
      <c r="B60" s="196" t="s">
        <v>276</v>
      </c>
      <c r="C60" s="165"/>
      <c r="D60" s="165"/>
      <c r="E60" s="165"/>
      <c r="F60" s="189"/>
      <c r="G60" s="32">
        <v>1</v>
      </c>
      <c r="H60" s="33">
        <v>450</v>
      </c>
      <c r="I60" s="33">
        <v>450</v>
      </c>
      <c r="J60" s="27">
        <v>200</v>
      </c>
      <c r="K60" s="19"/>
    </row>
    <row r="61" spans="1:11" ht="14.25" customHeight="1" x14ac:dyDescent="0.2">
      <c r="B61" s="214"/>
      <c r="C61" s="165"/>
      <c r="D61" s="165"/>
      <c r="E61" s="165"/>
      <c r="F61" s="189"/>
      <c r="G61" s="32"/>
      <c r="H61" s="33"/>
      <c r="I61" s="33"/>
      <c r="J61" s="27"/>
      <c r="K61" s="19"/>
    </row>
    <row r="62" spans="1:11" ht="14.25" customHeight="1" x14ac:dyDescent="0.2">
      <c r="A62" s="46">
        <v>5</v>
      </c>
      <c r="B62" s="196" t="s">
        <v>277</v>
      </c>
      <c r="C62" s="165"/>
      <c r="D62" s="165"/>
      <c r="E62" s="165"/>
      <c r="F62" s="189"/>
      <c r="G62" s="26">
        <v>1</v>
      </c>
      <c r="H62" s="24">
        <v>150</v>
      </c>
      <c r="I62" s="24">
        <v>150</v>
      </c>
      <c r="J62" s="27">
        <v>100</v>
      </c>
      <c r="K62" s="19"/>
    </row>
    <row r="63" spans="1:11" ht="14.25" customHeight="1" x14ac:dyDescent="0.2">
      <c r="B63" s="67"/>
      <c r="C63" s="20"/>
      <c r="D63" s="20"/>
      <c r="E63" s="20"/>
      <c r="F63" s="48"/>
      <c r="G63" s="26"/>
      <c r="H63" s="33"/>
      <c r="I63" s="33"/>
      <c r="J63" s="27"/>
      <c r="K63" s="19"/>
    </row>
    <row r="64" spans="1:11" ht="14.25" customHeight="1" x14ac:dyDescent="0.2">
      <c r="B64" s="67"/>
      <c r="C64" s="20"/>
      <c r="D64" s="20"/>
      <c r="E64" s="20"/>
      <c r="F64" s="48"/>
      <c r="G64" s="26"/>
      <c r="H64" s="33"/>
      <c r="I64" s="33"/>
      <c r="J64" s="27"/>
      <c r="K64" s="19"/>
    </row>
    <row r="65" spans="1:26" ht="14.25" customHeight="1" x14ac:dyDescent="0.2">
      <c r="A65" s="129"/>
      <c r="G65" s="26"/>
      <c r="H65" s="33"/>
      <c r="I65" s="33"/>
    </row>
    <row r="66" spans="1:26" ht="14.25" customHeight="1" x14ac:dyDescent="0.2">
      <c r="B66" s="223"/>
      <c r="C66" s="165"/>
      <c r="D66" s="165"/>
      <c r="E66" s="165"/>
      <c r="F66" s="189"/>
      <c r="G66" s="26"/>
      <c r="H66" s="33"/>
      <c r="I66" s="33"/>
      <c r="J66" s="27"/>
      <c r="K66" s="19"/>
    </row>
    <row r="67" spans="1:26" ht="14.25" customHeight="1" x14ac:dyDescent="0.2">
      <c r="B67" s="198"/>
      <c r="C67" s="165"/>
      <c r="D67" s="165"/>
      <c r="E67" s="165"/>
      <c r="F67" s="189"/>
      <c r="G67" s="26"/>
      <c r="H67" s="33"/>
      <c r="I67" s="33"/>
      <c r="J67" s="27"/>
      <c r="K67" s="19"/>
    </row>
    <row r="68" spans="1:26" ht="14.25" customHeight="1" x14ac:dyDescent="0.2">
      <c r="B68" s="65"/>
      <c r="C68" s="35"/>
      <c r="D68" s="35"/>
      <c r="E68" s="35"/>
      <c r="F68" s="45"/>
      <c r="G68" s="26"/>
      <c r="H68" s="33"/>
      <c r="I68" s="33"/>
      <c r="J68" s="27"/>
      <c r="K68" s="19"/>
    </row>
    <row r="69" spans="1:26" ht="14.25" customHeight="1" x14ac:dyDescent="0.2">
      <c r="B69" s="196"/>
      <c r="C69" s="165"/>
      <c r="D69" s="165"/>
      <c r="E69" s="165"/>
      <c r="F69" s="189"/>
      <c r="G69" s="26"/>
      <c r="H69" s="33"/>
      <c r="I69" s="33"/>
      <c r="K69" s="27">
        <v>176</v>
      </c>
    </row>
    <row r="70" spans="1:26" ht="14.25" customHeight="1" x14ac:dyDescent="0.2">
      <c r="A70" s="14"/>
      <c r="B70" s="223"/>
      <c r="C70" s="165"/>
      <c r="D70" s="165"/>
      <c r="E70" s="165"/>
      <c r="F70" s="189"/>
      <c r="G70" s="26"/>
      <c r="H70" s="33"/>
      <c r="I70" s="33"/>
      <c r="J70" s="27"/>
      <c r="K70" s="19"/>
    </row>
    <row r="71" spans="1:26" ht="14.25" customHeight="1" x14ac:dyDescent="0.2">
      <c r="B71" s="198"/>
      <c r="C71" s="165"/>
      <c r="D71" s="165"/>
      <c r="E71" s="165"/>
      <c r="F71" s="189"/>
      <c r="G71" s="26"/>
      <c r="H71" s="24"/>
      <c r="I71" s="130"/>
      <c r="J71" s="27"/>
      <c r="K71" s="19"/>
      <c r="L71" s="38" t="s">
        <v>54</v>
      </c>
      <c r="M71" s="39" t="s">
        <v>55</v>
      </c>
      <c r="N71" s="40" t="s">
        <v>56</v>
      </c>
    </row>
    <row r="72" spans="1:26" ht="14.25" customHeight="1" x14ac:dyDescent="0.2">
      <c r="B72" s="65"/>
      <c r="C72" s="25"/>
      <c r="D72" s="25"/>
      <c r="E72" s="25"/>
      <c r="F72" s="131"/>
      <c r="G72" s="26"/>
      <c r="H72" s="24"/>
      <c r="I72" s="130"/>
      <c r="J72" s="27"/>
      <c r="K72" s="19"/>
      <c r="L72" s="41">
        <f>I78</f>
        <v>17071</v>
      </c>
      <c r="M72" s="42">
        <f>SUM(J18:J49,J55:J62)</f>
        <v>12626.8</v>
      </c>
      <c r="N72" s="132">
        <f>L72-M72</f>
        <v>4444.2000000000007</v>
      </c>
    </row>
    <row r="73" spans="1:26" ht="18" customHeight="1" x14ac:dyDescent="0.2">
      <c r="A73" s="133"/>
      <c r="B73" s="218"/>
      <c r="C73" s="165"/>
      <c r="D73" s="165"/>
      <c r="E73" s="165"/>
      <c r="F73" s="189"/>
      <c r="G73" s="26"/>
      <c r="H73" s="24"/>
      <c r="I73" s="134"/>
      <c r="J73" s="135"/>
      <c r="K73" s="136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spans="1:26" ht="14.25" customHeight="1" x14ac:dyDescent="0.2">
      <c r="B74" s="197"/>
      <c r="C74" s="165"/>
      <c r="D74" s="165"/>
      <c r="E74" s="165"/>
      <c r="F74" s="189"/>
      <c r="G74" s="26"/>
      <c r="H74" s="130"/>
      <c r="I74" s="130"/>
      <c r="K74" s="27">
        <v>4668</v>
      </c>
    </row>
    <row r="75" spans="1:26" ht="14.25" customHeight="1" x14ac:dyDescent="0.2">
      <c r="B75" s="197"/>
      <c r="C75" s="165"/>
      <c r="D75" s="165"/>
      <c r="E75" s="165"/>
      <c r="F75" s="189"/>
      <c r="G75" s="26"/>
      <c r="H75" s="130"/>
      <c r="I75" s="130"/>
      <c r="J75" s="27"/>
      <c r="K75" s="19"/>
      <c r="R75" s="137"/>
    </row>
    <row r="76" spans="1:26" ht="27.75" customHeight="1" x14ac:dyDescent="0.2">
      <c r="A76" s="54"/>
      <c r="B76" s="220" t="s">
        <v>61</v>
      </c>
      <c r="C76" s="168"/>
      <c r="D76" s="168"/>
      <c r="E76" s="168"/>
      <c r="F76" s="169"/>
      <c r="G76" s="170" t="s">
        <v>62</v>
      </c>
      <c r="H76" s="168"/>
      <c r="I76" s="53">
        <f>SUM(I18:I75)</f>
        <v>17071</v>
      </c>
      <c r="J76" s="54"/>
      <c r="K76" s="12" t="s">
        <v>63</v>
      </c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24" customHeight="1" x14ac:dyDescent="0.2">
      <c r="B77" s="7"/>
      <c r="C77" s="7"/>
      <c r="D77" s="7"/>
      <c r="E77" s="7"/>
      <c r="F77" s="7"/>
      <c r="G77" s="170" t="s">
        <v>64</v>
      </c>
      <c r="H77" s="168"/>
      <c r="I77" s="53">
        <v>0</v>
      </c>
      <c r="K77" s="12" t="s">
        <v>65</v>
      </c>
    </row>
    <row r="78" spans="1:26" ht="24" customHeight="1" x14ac:dyDescent="0.2">
      <c r="B78" s="7"/>
      <c r="C78" s="7"/>
      <c r="D78" s="7"/>
      <c r="E78" s="7"/>
      <c r="F78" s="7"/>
      <c r="G78" s="162" t="s">
        <v>66</v>
      </c>
      <c r="H78" s="163"/>
      <c r="I78" s="55">
        <f>I76+I77</f>
        <v>17071</v>
      </c>
    </row>
    <row r="79" spans="1:26" ht="14.25" customHeight="1" x14ac:dyDescent="0.2">
      <c r="B79" s="20"/>
      <c r="C79" s="20"/>
      <c r="D79" s="20"/>
      <c r="E79" s="20"/>
      <c r="F79" s="20"/>
      <c r="G79" s="20"/>
      <c r="H79" s="20"/>
      <c r="I79" s="20"/>
    </row>
    <row r="80" spans="1:26" ht="14.25" customHeight="1" x14ac:dyDescent="0.2">
      <c r="B80" s="20"/>
      <c r="C80" s="20"/>
      <c r="D80" s="20"/>
      <c r="E80" s="20"/>
      <c r="F80" s="20"/>
      <c r="G80" s="20"/>
      <c r="H80" s="20"/>
      <c r="I80" s="20"/>
    </row>
    <row r="81" spans="2:11" ht="14.25" customHeight="1" x14ac:dyDescent="0.2">
      <c r="B81" s="20"/>
      <c r="C81" s="20"/>
      <c r="D81" s="20"/>
      <c r="E81" s="20"/>
      <c r="F81" s="20"/>
      <c r="G81" s="20"/>
      <c r="H81" s="20"/>
      <c r="I81" s="20"/>
    </row>
    <row r="82" spans="2:11" ht="14.25" customHeight="1" x14ac:dyDescent="0.2">
      <c r="B82" s="20"/>
      <c r="C82" s="20"/>
      <c r="D82" s="20"/>
      <c r="E82" s="20"/>
      <c r="F82" s="20"/>
      <c r="G82" s="20"/>
      <c r="H82" s="20"/>
      <c r="I82" s="20"/>
    </row>
    <row r="83" spans="2:11" ht="14.25" customHeight="1" x14ac:dyDescent="0.2">
      <c r="B83" s="20"/>
      <c r="C83" s="20"/>
      <c r="D83" s="20"/>
      <c r="E83" s="20"/>
      <c r="F83" s="20"/>
      <c r="G83" s="20"/>
      <c r="H83" s="20"/>
      <c r="I83" s="20"/>
    </row>
    <row r="84" spans="2:11" ht="14.25" customHeight="1" x14ac:dyDescent="0.2">
      <c r="B84" s="20"/>
      <c r="C84" s="20"/>
      <c r="D84" s="20"/>
      <c r="E84" s="20"/>
      <c r="F84" s="20"/>
      <c r="G84" s="20"/>
      <c r="H84" s="20"/>
      <c r="I84" s="20"/>
    </row>
    <row r="85" spans="2:11" ht="14.25" customHeight="1" x14ac:dyDescent="0.2">
      <c r="B85" s="20"/>
      <c r="C85" s="20"/>
      <c r="D85" s="20"/>
      <c r="E85" s="20"/>
      <c r="F85" s="20"/>
      <c r="G85" s="20"/>
      <c r="H85" s="20"/>
      <c r="I85" s="20"/>
    </row>
    <row r="86" spans="2:11" ht="14.25" customHeight="1" x14ac:dyDescent="0.2">
      <c r="B86" s="20"/>
      <c r="C86" s="20"/>
      <c r="D86" s="20"/>
      <c r="E86" s="20"/>
      <c r="F86" s="20"/>
      <c r="G86" s="20"/>
      <c r="H86" s="20"/>
      <c r="I86" s="20"/>
    </row>
    <row r="87" spans="2:11" ht="14.25" customHeight="1" x14ac:dyDescent="0.2">
      <c r="B87" s="20"/>
      <c r="C87" s="20"/>
      <c r="D87" s="20"/>
      <c r="E87" s="20"/>
      <c r="F87" s="20"/>
      <c r="G87" s="20"/>
      <c r="H87" s="20"/>
      <c r="I87" s="20"/>
    </row>
    <row r="88" spans="2:11" ht="14.25" customHeight="1" x14ac:dyDescent="0.2">
      <c r="B88" s="20"/>
      <c r="C88" s="20"/>
      <c r="D88" s="20"/>
      <c r="E88" s="20"/>
      <c r="F88" s="20"/>
      <c r="G88" s="20"/>
      <c r="H88" s="20"/>
      <c r="I88" s="20"/>
    </row>
    <row r="89" spans="2:11" ht="14.25" customHeight="1" x14ac:dyDescent="0.2">
      <c r="B89" s="20"/>
      <c r="C89" s="20"/>
      <c r="D89" s="20"/>
      <c r="E89" s="20"/>
      <c r="F89" s="20"/>
      <c r="G89" s="20"/>
      <c r="H89" s="20"/>
      <c r="I89" s="20"/>
    </row>
    <row r="90" spans="2:11" ht="14.25" customHeight="1" x14ac:dyDescent="0.2">
      <c r="B90" s="7"/>
      <c r="C90" s="7"/>
      <c r="D90" s="7"/>
      <c r="E90" s="7"/>
      <c r="F90" s="7"/>
      <c r="G90" s="7"/>
      <c r="H90" s="7"/>
      <c r="I90" s="7"/>
    </row>
    <row r="91" spans="2:11" ht="14.25" customHeight="1" x14ac:dyDescent="0.2">
      <c r="B91" s="7"/>
      <c r="C91" s="7"/>
      <c r="D91" s="7"/>
      <c r="E91" s="7"/>
      <c r="F91" s="7"/>
      <c r="G91" s="7"/>
      <c r="H91" s="7"/>
      <c r="I91" s="7"/>
    </row>
    <row r="92" spans="2:11" ht="14.25" customHeight="1" x14ac:dyDescent="0.2">
      <c r="B92" s="171" t="s">
        <v>67</v>
      </c>
      <c r="C92" s="165"/>
      <c r="D92" s="165"/>
      <c r="E92" s="165"/>
      <c r="F92" s="165"/>
      <c r="G92" s="165"/>
      <c r="H92" s="165"/>
      <c r="I92" s="165"/>
      <c r="K92" s="12" t="s">
        <v>68</v>
      </c>
    </row>
    <row r="93" spans="2:11" ht="14.25" customHeight="1" x14ac:dyDescent="0.2">
      <c r="B93" s="165"/>
      <c r="C93" s="165"/>
      <c r="D93" s="165"/>
      <c r="E93" s="165"/>
      <c r="F93" s="165"/>
      <c r="G93" s="165"/>
      <c r="H93" s="165"/>
      <c r="I93" s="165"/>
      <c r="K93" s="12"/>
    </row>
    <row r="94" spans="2:11" ht="14.25" customHeight="1" x14ac:dyDescent="0.2">
      <c r="B94" s="138"/>
      <c r="C94" s="138"/>
      <c r="D94" s="138"/>
      <c r="E94" s="138"/>
      <c r="F94" s="138"/>
      <c r="G94" s="138"/>
      <c r="H94" s="138"/>
      <c r="I94" s="138"/>
      <c r="K94" s="12"/>
    </row>
    <row r="95" spans="2:11" ht="14.25" customHeight="1" x14ac:dyDescent="0.2">
      <c r="B95" s="171" t="s">
        <v>278</v>
      </c>
      <c r="C95" s="165"/>
      <c r="D95" s="165"/>
      <c r="E95" s="165"/>
      <c r="F95" s="165"/>
      <c r="G95" s="165"/>
      <c r="H95" s="165"/>
      <c r="I95" s="165"/>
    </row>
    <row r="96" spans="2:11" ht="14.25" customHeight="1" x14ac:dyDescent="0.2">
      <c r="B96" s="20"/>
      <c r="C96" s="20"/>
      <c r="D96" s="20"/>
      <c r="E96" s="20"/>
      <c r="F96" s="20"/>
      <c r="G96" s="20"/>
      <c r="H96" s="20"/>
      <c r="I96" s="20"/>
    </row>
    <row r="97" spans="2:11" ht="14.25" customHeight="1" x14ac:dyDescent="0.2">
      <c r="B97" s="20"/>
      <c r="C97" s="20"/>
      <c r="D97" s="20"/>
      <c r="E97" s="20"/>
      <c r="F97" s="20"/>
      <c r="G97" s="20"/>
      <c r="H97" s="20"/>
      <c r="I97" s="20"/>
    </row>
    <row r="98" spans="2:11" ht="14.25" customHeight="1" x14ac:dyDescent="0.2">
      <c r="B98" s="20"/>
      <c r="C98" s="20"/>
      <c r="D98" s="20"/>
      <c r="E98" s="20"/>
      <c r="F98" s="20"/>
      <c r="G98" s="20"/>
      <c r="H98" s="20"/>
      <c r="I98" s="20"/>
    </row>
    <row r="99" spans="2:11" ht="14.25" customHeight="1" x14ac:dyDescent="0.2">
      <c r="B99" s="58"/>
    </row>
    <row r="100" spans="2:11" ht="170.25" customHeight="1" x14ac:dyDescent="0.2">
      <c r="B100" s="7"/>
      <c r="C100" s="7"/>
      <c r="D100" s="7"/>
      <c r="E100" s="7"/>
      <c r="F100" s="7"/>
      <c r="G100" s="164" t="s">
        <v>70</v>
      </c>
      <c r="H100" s="165"/>
      <c r="I100" s="165"/>
    </row>
    <row r="101" spans="2:11" ht="14.25" customHeight="1" x14ac:dyDescent="0.2">
      <c r="B101" s="222"/>
      <c r="C101" s="165"/>
      <c r="D101" s="165"/>
      <c r="E101" s="165"/>
      <c r="F101" s="165"/>
      <c r="G101" s="165"/>
      <c r="H101" s="165"/>
      <c r="I101" s="165"/>
      <c r="K101" s="12" t="s">
        <v>71</v>
      </c>
    </row>
    <row r="102" spans="2:11" ht="14.25" customHeight="1" x14ac:dyDescent="0.2">
      <c r="B102" s="59"/>
      <c r="C102" s="59"/>
      <c r="D102" s="59"/>
      <c r="E102" s="59"/>
      <c r="F102" s="59"/>
      <c r="G102" s="59"/>
      <c r="H102" s="59"/>
      <c r="I102" s="59"/>
      <c r="K102" s="12"/>
    </row>
    <row r="103" spans="2:11" ht="14.25" customHeight="1" x14ac:dyDescent="0.2"/>
    <row r="104" spans="2:11" ht="14.25" customHeight="1" x14ac:dyDescent="0.2"/>
    <row r="105" spans="2:11" ht="14.25" customHeight="1" x14ac:dyDescent="0.2"/>
    <row r="106" spans="2:11" ht="14.25" customHeight="1" x14ac:dyDescent="0.2"/>
    <row r="107" spans="2:11" ht="14.25" customHeight="1" x14ac:dyDescent="0.2"/>
    <row r="108" spans="2:11" ht="14.25" customHeight="1" x14ac:dyDescent="0.2"/>
    <row r="109" spans="2:11" ht="14.25" customHeight="1" x14ac:dyDescent="0.2"/>
    <row r="110" spans="2:11" ht="14.25" customHeight="1" x14ac:dyDescent="0.2"/>
    <row r="111" spans="2:11" ht="14.25" customHeight="1" x14ac:dyDescent="0.2"/>
    <row r="112" spans="2:11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spans="2:2" ht="14.25" customHeight="1" x14ac:dyDescent="0.2"/>
    <row r="130" spans="2:2" ht="14.25" customHeight="1" x14ac:dyDescent="0.2"/>
    <row r="131" spans="2:2" ht="14.25" customHeight="1" x14ac:dyDescent="0.2"/>
    <row r="132" spans="2:2" ht="14.25" customHeight="1" x14ac:dyDescent="0.2"/>
    <row r="133" spans="2:2" ht="14.25" customHeight="1" x14ac:dyDescent="0.2"/>
    <row r="134" spans="2:2" ht="14.25" customHeight="1" x14ac:dyDescent="0.2"/>
    <row r="135" spans="2:2" ht="14.25" customHeight="1" x14ac:dyDescent="0.2"/>
    <row r="136" spans="2:2" ht="14.25" customHeight="1" x14ac:dyDescent="0.2"/>
    <row r="137" spans="2:2" ht="14.25" customHeight="1" x14ac:dyDescent="0.2"/>
    <row r="138" spans="2:2" ht="14.25" customHeight="1" x14ac:dyDescent="0.2"/>
    <row r="139" spans="2:2" ht="14.25" customHeight="1" x14ac:dyDescent="0.2">
      <c r="B139" s="46" t="s">
        <v>69</v>
      </c>
    </row>
    <row r="140" spans="2:2" ht="14.25" customHeight="1" x14ac:dyDescent="0.2"/>
    <row r="141" spans="2:2" ht="14.25" customHeight="1" x14ac:dyDescent="0.2"/>
    <row r="142" spans="2:2" ht="14.25" customHeight="1" x14ac:dyDescent="0.2"/>
    <row r="143" spans="2:2" ht="14.25" customHeight="1" x14ac:dyDescent="0.2"/>
    <row r="144" spans="2:2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7">
    <mergeCell ref="G4:H4"/>
    <mergeCell ref="G5:H5"/>
    <mergeCell ref="G6:H6"/>
    <mergeCell ref="G7:H7"/>
    <mergeCell ref="A9:D9"/>
    <mergeCell ref="B17:F17"/>
    <mergeCell ref="B19:F19"/>
    <mergeCell ref="B21:F22"/>
    <mergeCell ref="B23:F23"/>
    <mergeCell ref="B24:F24"/>
    <mergeCell ref="B25:F25"/>
    <mergeCell ref="B26:F26"/>
    <mergeCell ref="B27:F28"/>
    <mergeCell ref="B29:F30"/>
    <mergeCell ref="B31:F32"/>
    <mergeCell ref="B33:F34"/>
    <mergeCell ref="B35:F36"/>
    <mergeCell ref="B37:F40"/>
    <mergeCell ref="H41:H45"/>
    <mergeCell ref="I41:I45"/>
    <mergeCell ref="J41:J44"/>
    <mergeCell ref="B41:F45"/>
    <mergeCell ref="B46:F47"/>
    <mergeCell ref="B48:F48"/>
    <mergeCell ref="B50:F50"/>
    <mergeCell ref="B51:F53"/>
    <mergeCell ref="B55:F57"/>
    <mergeCell ref="B58:F58"/>
    <mergeCell ref="B59:F59"/>
    <mergeCell ref="B60:F61"/>
    <mergeCell ref="B62:F62"/>
    <mergeCell ref="B66:F66"/>
    <mergeCell ref="B67:F67"/>
    <mergeCell ref="B69:F69"/>
    <mergeCell ref="B70:F70"/>
    <mergeCell ref="G78:H78"/>
    <mergeCell ref="B92:I93"/>
    <mergeCell ref="B95:I95"/>
    <mergeCell ref="G100:I100"/>
    <mergeCell ref="B101:I101"/>
    <mergeCell ref="G76:H76"/>
    <mergeCell ref="G77:H77"/>
    <mergeCell ref="B71:F71"/>
    <mergeCell ref="B73:F73"/>
    <mergeCell ref="B74:F74"/>
    <mergeCell ref="B75:F75"/>
    <mergeCell ref="B76:F76"/>
  </mergeCells>
  <hyperlinks>
    <hyperlink ref="K3" r:id="rId1" xr:uid="{00000000-0004-0000-1000-000000000000}"/>
  </hyperlinks>
  <printOptions horizontalCentered="1"/>
  <pageMargins left="0.5" right="0.5" top="0.5" bottom="0.5" header="0" footer="0"/>
  <pageSetup orientation="portrait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14.25" customHeight="1" x14ac:dyDescent="0.2">
      <c r="A1" s="2" t="s">
        <v>0</v>
      </c>
      <c r="C1" s="2"/>
      <c r="D1" s="2"/>
      <c r="E1" s="2"/>
      <c r="F1" s="3"/>
      <c r="H1" s="4"/>
      <c r="I1" s="5" t="s">
        <v>1</v>
      </c>
    </row>
    <row r="2" spans="1:11" ht="14.25" customHeight="1" x14ac:dyDescent="0.2">
      <c r="A2" s="6" t="s">
        <v>2</v>
      </c>
      <c r="C2" s="6"/>
      <c r="D2" s="6"/>
      <c r="E2" s="6"/>
      <c r="F2" s="6"/>
      <c r="G2" s="6"/>
      <c r="H2" s="7"/>
      <c r="I2" s="7"/>
      <c r="K2" s="8" t="s">
        <v>3</v>
      </c>
    </row>
    <row r="3" spans="1:11" ht="14.25" customHeight="1" x14ac:dyDescent="0.2">
      <c r="A3" s="6" t="s">
        <v>4</v>
      </c>
      <c r="C3" s="6"/>
      <c r="D3" s="6"/>
      <c r="E3" s="6"/>
      <c r="F3" s="6"/>
      <c r="K3" s="9" t="s">
        <v>5</v>
      </c>
    </row>
    <row r="4" spans="1:11" ht="14.25" customHeight="1" x14ac:dyDescent="0.2">
      <c r="A4" s="6" t="s">
        <v>6</v>
      </c>
      <c r="C4" s="123"/>
      <c r="D4" s="123"/>
      <c r="E4" s="6"/>
      <c r="F4" s="6"/>
      <c r="G4" s="186" t="s">
        <v>132</v>
      </c>
      <c r="H4" s="169"/>
      <c r="I4" s="10" t="s">
        <v>8</v>
      </c>
      <c r="K4" s="8"/>
    </row>
    <row r="5" spans="1:11" ht="14.25" customHeight="1" x14ac:dyDescent="0.2">
      <c r="A5" s="6" t="s">
        <v>9</v>
      </c>
      <c r="C5" s="6"/>
      <c r="D5" s="6"/>
      <c r="E5" s="6"/>
      <c r="F5" s="6"/>
      <c r="G5" s="205">
        <v>2292</v>
      </c>
      <c r="H5" s="169"/>
      <c r="I5" s="11">
        <v>44827</v>
      </c>
      <c r="K5" s="12" t="s">
        <v>10</v>
      </c>
    </row>
    <row r="6" spans="1:11" ht="14.25" customHeight="1" x14ac:dyDescent="0.2">
      <c r="A6" s="6" t="s">
        <v>11</v>
      </c>
      <c r="C6" s="6"/>
      <c r="D6" s="6"/>
      <c r="E6" s="6"/>
      <c r="F6" s="6"/>
      <c r="G6" s="186" t="s">
        <v>134</v>
      </c>
      <c r="H6" s="169"/>
      <c r="I6" s="10" t="s">
        <v>135</v>
      </c>
      <c r="K6" s="12"/>
    </row>
    <row r="7" spans="1:11" ht="14.25" customHeight="1" x14ac:dyDescent="0.2">
      <c r="B7" s="6"/>
      <c r="C7" s="6"/>
      <c r="D7" s="6"/>
      <c r="E7" s="6"/>
      <c r="F7" s="6"/>
      <c r="G7" s="205"/>
      <c r="H7" s="169"/>
      <c r="I7" s="11">
        <f>I5+15</f>
        <v>44842</v>
      </c>
      <c r="K7" s="8"/>
    </row>
    <row r="8" spans="1:11" ht="18" customHeight="1" x14ac:dyDescent="0.2">
      <c r="B8" s="6"/>
      <c r="C8" s="6"/>
      <c r="D8" s="6"/>
      <c r="E8" s="6"/>
      <c r="F8" s="6"/>
      <c r="G8" s="15"/>
      <c r="H8" s="15"/>
      <c r="I8" s="16"/>
      <c r="K8" s="8"/>
    </row>
    <row r="9" spans="1:11" ht="19.5" customHeight="1" x14ac:dyDescent="0.2">
      <c r="A9" s="172" t="s">
        <v>12</v>
      </c>
      <c r="B9" s="173"/>
      <c r="C9" s="173"/>
      <c r="D9" s="174"/>
      <c r="E9" s="6"/>
      <c r="H9" s="17" t="s">
        <v>13</v>
      </c>
      <c r="I9" s="18"/>
      <c r="K9" s="19"/>
    </row>
    <row r="10" spans="1:11" ht="14.25" customHeight="1" x14ac:dyDescent="0.2">
      <c r="A10" s="6" t="s">
        <v>254</v>
      </c>
      <c r="C10" s="6"/>
      <c r="D10" s="6"/>
      <c r="E10" s="6"/>
      <c r="H10" s="17"/>
      <c r="I10" s="18"/>
      <c r="K10" s="19"/>
    </row>
    <row r="11" spans="1:11" ht="14.25" customHeight="1" x14ac:dyDescent="0.2">
      <c r="A11" s="6" t="s">
        <v>255</v>
      </c>
      <c r="C11" s="6"/>
      <c r="D11" s="6"/>
      <c r="E11" s="6"/>
      <c r="H11" s="17"/>
      <c r="I11" s="18"/>
      <c r="K11" s="19"/>
    </row>
    <row r="12" spans="1:11" ht="14.25" customHeight="1" x14ac:dyDescent="0.2">
      <c r="A12" s="6" t="s">
        <v>256</v>
      </c>
      <c r="C12" s="6"/>
      <c r="D12" s="6"/>
      <c r="E12" s="6"/>
    </row>
    <row r="13" spans="1:11" ht="14.25" customHeight="1" x14ac:dyDescent="0.2">
      <c r="A13" s="6" t="s">
        <v>257</v>
      </c>
      <c r="C13" s="6"/>
      <c r="D13" s="6"/>
      <c r="E13" s="6"/>
    </row>
    <row r="14" spans="1:11" ht="14.25" customHeight="1" x14ac:dyDescent="0.2">
      <c r="A14" s="6" t="s">
        <v>258</v>
      </c>
      <c r="C14" s="6"/>
      <c r="D14" s="6"/>
      <c r="E14" s="6"/>
    </row>
    <row r="15" spans="1:11" ht="14.25" customHeight="1" x14ac:dyDescent="0.2">
      <c r="A15" s="6" t="s">
        <v>259</v>
      </c>
      <c r="C15" s="6"/>
      <c r="D15" s="6"/>
      <c r="E15" s="6"/>
      <c r="F15" s="6"/>
    </row>
    <row r="16" spans="1:11" ht="14.25" customHeight="1" x14ac:dyDescent="0.2">
      <c r="B16" s="6"/>
      <c r="C16" s="6"/>
      <c r="D16" s="6"/>
      <c r="E16" s="6"/>
      <c r="F16" s="6"/>
      <c r="G16" s="6"/>
      <c r="H16" s="6"/>
      <c r="I16" s="6"/>
      <c r="K16" s="19"/>
    </row>
    <row r="17" spans="1:11" ht="19.5" customHeight="1" x14ac:dyDescent="0.2">
      <c r="A17" s="62" t="s">
        <v>16</v>
      </c>
      <c r="B17" s="203" t="s">
        <v>17</v>
      </c>
      <c r="C17" s="178"/>
      <c r="D17" s="178"/>
      <c r="E17" s="178"/>
      <c r="F17" s="179"/>
      <c r="G17" s="10" t="s">
        <v>18</v>
      </c>
      <c r="H17" s="10" t="s">
        <v>19</v>
      </c>
      <c r="I17" s="10" t="s">
        <v>20</v>
      </c>
      <c r="K17" s="19"/>
    </row>
    <row r="18" spans="1:11" ht="18.75" customHeight="1" x14ac:dyDescent="0.2">
      <c r="B18" s="204"/>
      <c r="C18" s="181"/>
      <c r="D18" s="181"/>
      <c r="E18" s="181"/>
      <c r="F18" s="182"/>
      <c r="G18" s="23"/>
      <c r="H18" s="24"/>
      <c r="I18" s="24"/>
      <c r="K18" s="12"/>
    </row>
    <row r="19" spans="1:11" ht="28.5" customHeight="1" x14ac:dyDescent="0.2">
      <c r="B19" s="218" t="s">
        <v>279</v>
      </c>
      <c r="C19" s="165"/>
      <c r="D19" s="165"/>
      <c r="E19" s="165"/>
      <c r="F19" s="189"/>
      <c r="G19" s="26"/>
      <c r="H19" s="24"/>
      <c r="I19" s="24"/>
      <c r="J19" s="27"/>
      <c r="K19" s="12"/>
    </row>
    <row r="20" spans="1:11" ht="13.5" customHeight="1" x14ac:dyDescent="0.2">
      <c r="B20" s="115"/>
      <c r="C20" s="82"/>
      <c r="D20" s="82"/>
      <c r="E20" s="82"/>
      <c r="F20" s="83"/>
      <c r="G20" s="26"/>
      <c r="H20" s="24"/>
      <c r="I20" s="24"/>
      <c r="J20" s="27"/>
      <c r="K20" s="12"/>
    </row>
    <row r="21" spans="1:11" ht="14.25" customHeight="1" x14ac:dyDescent="0.2">
      <c r="A21" s="14">
        <v>1</v>
      </c>
      <c r="B21" s="219" t="s">
        <v>42</v>
      </c>
      <c r="C21" s="165"/>
      <c r="D21" s="165"/>
      <c r="E21" s="165"/>
      <c r="F21" s="189"/>
      <c r="G21" s="32">
        <v>1</v>
      </c>
      <c r="H21" s="33">
        <v>400</v>
      </c>
      <c r="I21" s="33">
        <v>400</v>
      </c>
      <c r="J21" s="27">
        <v>400</v>
      </c>
      <c r="K21" s="12"/>
    </row>
    <row r="22" spans="1:11" ht="45.75" customHeight="1" x14ac:dyDescent="0.2">
      <c r="A22" s="14">
        <v>2</v>
      </c>
      <c r="B22" s="196" t="s">
        <v>280</v>
      </c>
      <c r="C22" s="165"/>
      <c r="D22" s="165"/>
      <c r="E22" s="165"/>
      <c r="F22" s="189"/>
      <c r="G22" s="32">
        <v>1</v>
      </c>
      <c r="H22" s="33">
        <v>450</v>
      </c>
      <c r="I22" s="33">
        <v>450</v>
      </c>
      <c r="J22" s="116">
        <v>600</v>
      </c>
      <c r="K22" s="12"/>
    </row>
    <row r="23" spans="1:11" ht="14.25" customHeight="1" x14ac:dyDescent="0.2">
      <c r="A23" s="216">
        <v>3</v>
      </c>
      <c r="B23" s="196" t="s">
        <v>234</v>
      </c>
      <c r="C23" s="165"/>
      <c r="D23" s="165"/>
      <c r="E23" s="165"/>
      <c r="F23" s="189"/>
      <c r="G23" s="217">
        <v>1</v>
      </c>
      <c r="H23" s="215">
        <v>180</v>
      </c>
      <c r="I23" s="215">
        <v>180</v>
      </c>
      <c r="J23" s="27">
        <v>200</v>
      </c>
      <c r="K23" s="19"/>
    </row>
    <row r="24" spans="1:11" ht="14.25" customHeight="1" x14ac:dyDescent="0.2">
      <c r="A24" s="189"/>
      <c r="B24" s="214"/>
      <c r="C24" s="165"/>
      <c r="D24" s="165"/>
      <c r="E24" s="165"/>
      <c r="F24" s="189"/>
      <c r="G24" s="194"/>
      <c r="H24" s="194"/>
      <c r="I24" s="194"/>
      <c r="J24" s="27"/>
      <c r="K24" s="12"/>
    </row>
    <row r="25" spans="1:11" ht="14.25" customHeight="1" x14ac:dyDescent="0.2">
      <c r="A25" s="14">
        <v>4</v>
      </c>
      <c r="B25" s="196" t="s">
        <v>43</v>
      </c>
      <c r="C25" s="165"/>
      <c r="D25" s="165"/>
      <c r="E25" s="165"/>
      <c r="F25" s="189"/>
      <c r="G25" s="217">
        <v>1</v>
      </c>
      <c r="H25" s="215">
        <v>65</v>
      </c>
      <c r="I25" s="215">
        <v>65</v>
      </c>
      <c r="J25" s="27">
        <v>86</v>
      </c>
      <c r="K25" s="19"/>
    </row>
    <row r="26" spans="1:11" ht="14.25" customHeight="1" x14ac:dyDescent="0.2">
      <c r="A26" s="27"/>
      <c r="B26" s="214"/>
      <c r="C26" s="165"/>
      <c r="D26" s="165"/>
      <c r="E26" s="165"/>
      <c r="F26" s="189"/>
      <c r="G26" s="194"/>
      <c r="H26" s="194"/>
      <c r="I26" s="194"/>
      <c r="J26" s="27"/>
      <c r="K26" s="19"/>
    </row>
    <row r="27" spans="1:11" ht="14.25" customHeight="1" x14ac:dyDescent="0.2">
      <c r="A27" s="14">
        <v>5</v>
      </c>
      <c r="B27" s="196" t="s">
        <v>235</v>
      </c>
      <c r="C27" s="165"/>
      <c r="D27" s="165"/>
      <c r="E27" s="165"/>
      <c r="F27" s="189"/>
      <c r="G27" s="32">
        <v>1</v>
      </c>
      <c r="H27" s="33">
        <v>20</v>
      </c>
      <c r="I27" s="33">
        <v>20</v>
      </c>
      <c r="J27" s="27">
        <v>20</v>
      </c>
      <c r="K27" s="19"/>
    </row>
    <row r="28" spans="1:11" ht="14.25" customHeight="1" x14ac:dyDescent="0.2">
      <c r="B28" s="139"/>
      <c r="C28" s="108"/>
      <c r="D28" s="108"/>
      <c r="E28" s="108"/>
      <c r="F28" s="109"/>
      <c r="G28" s="26"/>
      <c r="H28" s="24"/>
      <c r="I28" s="24"/>
      <c r="J28" s="27"/>
      <c r="K28" s="19"/>
    </row>
    <row r="29" spans="1:11" ht="14.25" customHeight="1" x14ac:dyDescent="0.2">
      <c r="B29" s="139"/>
      <c r="C29" s="108"/>
      <c r="D29" s="108"/>
      <c r="E29" s="108"/>
      <c r="F29" s="109"/>
      <c r="G29" s="26"/>
      <c r="H29" s="24"/>
      <c r="I29" s="24"/>
      <c r="J29" s="27"/>
      <c r="K29" s="19"/>
    </row>
    <row r="30" spans="1:11" ht="14.25" customHeight="1" x14ac:dyDescent="0.2">
      <c r="B30" s="140"/>
      <c r="C30" s="141"/>
      <c r="D30" s="141"/>
      <c r="E30" s="141"/>
      <c r="F30" s="142"/>
      <c r="G30" s="143"/>
      <c r="H30" s="143"/>
      <c r="I30" s="143"/>
      <c r="J30" s="27"/>
      <c r="K30" s="19"/>
    </row>
    <row r="31" spans="1:11" ht="38.25" customHeight="1" x14ac:dyDescent="0.2">
      <c r="A31" s="71"/>
      <c r="B31" s="218" t="s">
        <v>281</v>
      </c>
      <c r="C31" s="165"/>
      <c r="D31" s="165"/>
      <c r="E31" s="165"/>
      <c r="F31" s="189"/>
      <c r="G31" s="26"/>
      <c r="H31" s="24"/>
      <c r="I31" s="24"/>
      <c r="J31" s="27"/>
      <c r="K31" s="19"/>
    </row>
    <row r="32" spans="1:11" ht="10.5" customHeight="1" x14ac:dyDescent="0.2">
      <c r="A32" s="71"/>
      <c r="B32" s="65"/>
      <c r="C32" s="25"/>
      <c r="D32" s="25"/>
      <c r="E32" s="25"/>
      <c r="F32" s="131"/>
      <c r="G32" s="26"/>
      <c r="H32" s="24"/>
      <c r="I32" s="24"/>
      <c r="J32" s="27"/>
      <c r="K32" s="19"/>
    </row>
    <row r="33" spans="1:12" ht="14.25" customHeight="1" x14ac:dyDescent="0.2">
      <c r="A33" s="144">
        <v>1</v>
      </c>
      <c r="B33" s="219" t="s">
        <v>42</v>
      </c>
      <c r="C33" s="165"/>
      <c r="D33" s="165"/>
      <c r="E33" s="165"/>
      <c r="F33" s="189"/>
      <c r="G33" s="32">
        <v>2</v>
      </c>
      <c r="H33" s="68">
        <v>400</v>
      </c>
      <c r="I33" s="68">
        <v>0</v>
      </c>
      <c r="J33" s="27">
        <v>400</v>
      </c>
      <c r="K33" s="19"/>
    </row>
    <row r="34" spans="1:12" ht="14.25" customHeight="1" x14ac:dyDescent="0.2">
      <c r="A34" s="144">
        <v>2</v>
      </c>
      <c r="B34" s="196" t="s">
        <v>282</v>
      </c>
      <c r="C34" s="165"/>
      <c r="D34" s="165"/>
      <c r="E34" s="165"/>
      <c r="F34" s="189"/>
      <c r="G34" s="217">
        <v>2</v>
      </c>
      <c r="H34" s="68">
        <v>450</v>
      </c>
      <c r="I34" s="68">
        <v>0</v>
      </c>
      <c r="J34" s="116">
        <v>600</v>
      </c>
      <c r="K34" s="19"/>
    </row>
    <row r="35" spans="1:12" ht="14.25" customHeight="1" x14ac:dyDescent="0.2">
      <c r="A35" s="144"/>
      <c r="B35" s="214"/>
      <c r="C35" s="165"/>
      <c r="D35" s="165"/>
      <c r="E35" s="165"/>
      <c r="F35" s="189"/>
      <c r="G35" s="194"/>
      <c r="H35" s="68"/>
      <c r="I35" s="68"/>
      <c r="K35" s="19"/>
    </row>
    <row r="36" spans="1:12" ht="14.25" customHeight="1" x14ac:dyDescent="0.2">
      <c r="A36" s="144"/>
      <c r="B36" s="214"/>
      <c r="C36" s="165"/>
      <c r="D36" s="165"/>
      <c r="E36" s="165"/>
      <c r="F36" s="189"/>
      <c r="G36" s="194"/>
      <c r="H36" s="68"/>
      <c r="I36" s="68"/>
      <c r="K36" s="19"/>
    </row>
    <row r="37" spans="1:12" ht="14.25" customHeight="1" x14ac:dyDescent="0.2">
      <c r="A37" s="144">
        <v>3</v>
      </c>
      <c r="B37" s="196" t="s">
        <v>234</v>
      </c>
      <c r="C37" s="165"/>
      <c r="D37" s="165"/>
      <c r="E37" s="165"/>
      <c r="F37" s="189"/>
      <c r="G37" s="217">
        <v>2</v>
      </c>
      <c r="H37" s="68">
        <v>180</v>
      </c>
      <c r="I37" s="68">
        <v>0</v>
      </c>
      <c r="J37" s="27">
        <v>200</v>
      </c>
      <c r="K37" s="19"/>
    </row>
    <row r="38" spans="1:12" ht="14.25" customHeight="1" x14ac:dyDescent="0.2">
      <c r="A38" s="144"/>
      <c r="B38" s="214"/>
      <c r="C38" s="165"/>
      <c r="D38" s="165"/>
      <c r="E38" s="165"/>
      <c r="F38" s="189"/>
      <c r="G38" s="194"/>
      <c r="H38" s="68"/>
      <c r="I38" s="68"/>
      <c r="J38" s="27"/>
      <c r="K38" s="19"/>
      <c r="L38" s="122">
        <f>SUM(I33:I60)</f>
        <v>2642</v>
      </c>
    </row>
    <row r="39" spans="1:12" ht="14.25" customHeight="1" x14ac:dyDescent="0.2">
      <c r="A39" s="144">
        <v>4</v>
      </c>
      <c r="B39" s="196" t="s">
        <v>43</v>
      </c>
      <c r="C39" s="165"/>
      <c r="D39" s="165"/>
      <c r="E39" s="165"/>
      <c r="F39" s="189"/>
      <c r="G39" s="229">
        <v>2</v>
      </c>
      <c r="H39" s="68">
        <v>65</v>
      </c>
      <c r="I39" s="68">
        <v>0</v>
      </c>
      <c r="J39" s="27">
        <v>86</v>
      </c>
      <c r="K39" s="19"/>
    </row>
    <row r="40" spans="1:12" ht="14.25" customHeight="1" x14ac:dyDescent="0.2">
      <c r="A40" s="144"/>
      <c r="B40" s="214"/>
      <c r="C40" s="165"/>
      <c r="D40" s="165"/>
      <c r="E40" s="165"/>
      <c r="F40" s="189"/>
      <c r="G40" s="194"/>
      <c r="H40" s="68"/>
      <c r="I40" s="68"/>
      <c r="J40" s="27"/>
      <c r="K40" s="19"/>
    </row>
    <row r="41" spans="1:12" ht="14.25" customHeight="1" x14ac:dyDescent="0.2">
      <c r="A41" s="144">
        <v>5</v>
      </c>
      <c r="B41" s="196" t="s">
        <v>235</v>
      </c>
      <c r="C41" s="165"/>
      <c r="D41" s="165"/>
      <c r="E41" s="165"/>
      <c r="F41" s="189"/>
      <c r="G41" s="32">
        <v>2</v>
      </c>
      <c r="H41" s="68">
        <v>20</v>
      </c>
      <c r="I41" s="68">
        <v>0</v>
      </c>
      <c r="J41" s="27">
        <v>20</v>
      </c>
      <c r="K41" s="19"/>
    </row>
    <row r="42" spans="1:12" ht="14.25" customHeight="1" x14ac:dyDescent="0.2">
      <c r="A42" s="144"/>
      <c r="B42" s="214"/>
      <c r="C42" s="165"/>
      <c r="D42" s="165"/>
      <c r="E42" s="165"/>
      <c r="F42" s="189"/>
      <c r="G42" s="32"/>
      <c r="H42" s="68"/>
      <c r="I42" s="68"/>
      <c r="J42" s="27"/>
      <c r="K42" s="19"/>
    </row>
    <row r="43" spans="1:12" ht="14.25" customHeight="1" x14ac:dyDescent="0.2">
      <c r="A43" s="144"/>
      <c r="B43" s="214"/>
      <c r="C43" s="165"/>
      <c r="D43" s="165"/>
      <c r="E43" s="165"/>
      <c r="F43" s="189"/>
      <c r="G43" s="32"/>
      <c r="H43" s="68"/>
      <c r="I43" s="68"/>
      <c r="J43" s="27"/>
      <c r="K43" s="19"/>
    </row>
    <row r="44" spans="1:12" ht="14.25" customHeight="1" x14ac:dyDescent="0.2">
      <c r="A44" s="144"/>
      <c r="B44" s="214"/>
      <c r="C44" s="165"/>
      <c r="D44" s="165"/>
      <c r="E44" s="165"/>
      <c r="F44" s="189"/>
      <c r="G44" s="32"/>
      <c r="H44" s="68"/>
      <c r="I44" s="68"/>
      <c r="J44" s="27"/>
      <c r="K44" s="19"/>
    </row>
    <row r="45" spans="1:12" ht="14.25" customHeight="1" x14ac:dyDescent="0.2">
      <c r="A45" s="144"/>
      <c r="B45" s="214"/>
      <c r="C45" s="165"/>
      <c r="D45" s="165"/>
      <c r="E45" s="165"/>
      <c r="F45" s="189"/>
      <c r="G45" s="121"/>
      <c r="H45" s="145"/>
      <c r="I45" s="145"/>
      <c r="J45" s="27"/>
      <c r="K45" s="19"/>
    </row>
    <row r="46" spans="1:12" ht="14.25" customHeight="1" x14ac:dyDescent="0.2">
      <c r="A46" s="62" t="s">
        <v>16</v>
      </c>
      <c r="B46" s="186" t="s">
        <v>17</v>
      </c>
      <c r="C46" s="168"/>
      <c r="D46" s="168"/>
      <c r="E46" s="168"/>
      <c r="F46" s="169"/>
      <c r="G46" s="10" t="s">
        <v>18</v>
      </c>
      <c r="H46" s="10" t="s">
        <v>19</v>
      </c>
      <c r="I46" s="10" t="s">
        <v>20</v>
      </c>
      <c r="J46" s="27"/>
      <c r="K46" s="19"/>
    </row>
    <row r="47" spans="1:12" ht="14.25" customHeight="1" x14ac:dyDescent="0.2">
      <c r="A47" s="71"/>
      <c r="B47" s="218" t="s">
        <v>239</v>
      </c>
      <c r="C47" s="165"/>
      <c r="D47" s="165"/>
      <c r="E47" s="165"/>
      <c r="F47" s="189"/>
      <c r="G47" s="26"/>
      <c r="H47" s="24"/>
      <c r="I47" s="24"/>
      <c r="J47" s="27"/>
      <c r="K47" s="19"/>
    </row>
    <row r="48" spans="1:12" ht="14.25" customHeight="1" x14ac:dyDescent="0.2">
      <c r="A48" s="71"/>
      <c r="B48" s="214"/>
      <c r="C48" s="165"/>
      <c r="D48" s="165"/>
      <c r="E48" s="165"/>
      <c r="F48" s="189"/>
      <c r="G48" s="26"/>
      <c r="H48" s="24"/>
      <c r="I48" s="24"/>
      <c r="J48" s="27"/>
      <c r="K48" s="19"/>
    </row>
    <row r="49" spans="1:11" ht="21" customHeight="1" x14ac:dyDescent="0.2">
      <c r="A49" s="71"/>
      <c r="B49" s="214"/>
      <c r="C49" s="165"/>
      <c r="D49" s="165"/>
      <c r="E49" s="165"/>
      <c r="F49" s="189"/>
      <c r="G49" s="26"/>
      <c r="H49" s="24"/>
      <c r="I49" s="24"/>
      <c r="J49" s="27"/>
      <c r="K49" s="19"/>
    </row>
    <row r="50" spans="1:11" ht="4.5" customHeight="1" x14ac:dyDescent="0.2">
      <c r="A50" s="71"/>
      <c r="B50" s="214"/>
      <c r="C50" s="165"/>
      <c r="D50" s="165"/>
      <c r="E50" s="165"/>
      <c r="F50" s="189"/>
      <c r="G50" s="26"/>
      <c r="H50" s="24"/>
      <c r="I50" s="24"/>
      <c r="J50" s="27"/>
      <c r="K50" s="19"/>
    </row>
    <row r="51" spans="1:11" ht="7.5" hidden="1" customHeight="1" x14ac:dyDescent="0.2">
      <c r="A51" s="71"/>
      <c r="B51" s="214"/>
      <c r="C51" s="165"/>
      <c r="D51" s="165"/>
      <c r="E51" s="165"/>
      <c r="F51" s="189"/>
      <c r="G51" s="26"/>
      <c r="H51" s="24"/>
      <c r="I51" s="24"/>
      <c r="J51" s="27"/>
      <c r="K51" s="19"/>
    </row>
    <row r="52" spans="1:11" ht="14.25" customHeight="1" x14ac:dyDescent="0.2">
      <c r="A52" s="144">
        <v>1</v>
      </c>
      <c r="B52" s="196" t="s">
        <v>283</v>
      </c>
      <c r="C52" s="165"/>
      <c r="D52" s="165"/>
      <c r="E52" s="165"/>
      <c r="F52" s="189"/>
      <c r="G52" s="32">
        <v>1</v>
      </c>
      <c r="H52" s="33">
        <v>299</v>
      </c>
      <c r="I52" s="33">
        <v>299</v>
      </c>
      <c r="J52" s="27">
        <v>229</v>
      </c>
      <c r="K52" s="19"/>
    </row>
    <row r="53" spans="1:11" ht="14.25" customHeight="1" x14ac:dyDescent="0.2">
      <c r="A53" s="144">
        <v>2</v>
      </c>
      <c r="B53" s="196" t="s">
        <v>284</v>
      </c>
      <c r="C53" s="165"/>
      <c r="D53" s="165"/>
      <c r="E53" s="165"/>
      <c r="F53" s="189"/>
      <c r="G53" s="32">
        <v>1</v>
      </c>
      <c r="H53" s="33">
        <v>429</v>
      </c>
      <c r="I53" s="33">
        <v>429</v>
      </c>
      <c r="J53" s="27">
        <v>325</v>
      </c>
      <c r="K53" s="19"/>
    </row>
    <row r="54" spans="1:11" ht="14.25" customHeight="1" x14ac:dyDescent="0.2">
      <c r="A54" s="144">
        <v>3</v>
      </c>
      <c r="B54" s="219" t="s">
        <v>285</v>
      </c>
      <c r="C54" s="165"/>
      <c r="D54" s="165"/>
      <c r="E54" s="165"/>
      <c r="F54" s="189"/>
      <c r="G54" s="32">
        <v>1</v>
      </c>
      <c r="H54" s="33">
        <v>409</v>
      </c>
      <c r="I54" s="33">
        <v>409</v>
      </c>
      <c r="J54" s="27">
        <v>200</v>
      </c>
      <c r="K54" s="19"/>
    </row>
    <row r="55" spans="1:11" ht="14.25" customHeight="1" x14ac:dyDescent="0.2">
      <c r="A55" s="144">
        <v>4</v>
      </c>
      <c r="B55" s="196" t="s">
        <v>286</v>
      </c>
      <c r="C55" s="165"/>
      <c r="D55" s="165"/>
      <c r="E55" s="165"/>
      <c r="F55" s="189"/>
      <c r="G55" s="32">
        <v>3</v>
      </c>
      <c r="H55" s="33">
        <v>50</v>
      </c>
      <c r="I55" s="33">
        <v>150</v>
      </c>
      <c r="J55" s="27">
        <v>56.7</v>
      </c>
      <c r="K55" s="19"/>
    </row>
    <row r="56" spans="1:11" ht="14.25" customHeight="1" x14ac:dyDescent="0.2">
      <c r="A56" s="144">
        <v>5</v>
      </c>
      <c r="B56" s="196" t="s">
        <v>287</v>
      </c>
      <c r="C56" s="165"/>
      <c r="D56" s="165"/>
      <c r="E56" s="165"/>
      <c r="F56" s="189"/>
      <c r="G56" s="32">
        <v>1</v>
      </c>
      <c r="H56" s="33">
        <v>350</v>
      </c>
      <c r="I56" s="33">
        <v>350</v>
      </c>
      <c r="J56" s="27">
        <v>200</v>
      </c>
      <c r="K56" s="19" t="s">
        <v>26</v>
      </c>
    </row>
    <row r="57" spans="1:11" ht="14.25" customHeight="1" x14ac:dyDescent="0.2">
      <c r="A57" s="144">
        <v>6</v>
      </c>
      <c r="B57" s="196" t="s">
        <v>27</v>
      </c>
      <c r="C57" s="165"/>
      <c r="D57" s="165"/>
      <c r="E57" s="165"/>
      <c r="F57" s="189"/>
      <c r="G57" s="32">
        <v>4</v>
      </c>
      <c r="H57" s="33">
        <v>180</v>
      </c>
      <c r="I57" s="33">
        <v>720</v>
      </c>
      <c r="J57" s="27">
        <v>400</v>
      </c>
      <c r="K57" s="19"/>
    </row>
    <row r="58" spans="1:11" ht="14.25" customHeight="1" x14ac:dyDescent="0.2">
      <c r="A58" s="144">
        <v>7</v>
      </c>
      <c r="B58" s="196" t="s">
        <v>288</v>
      </c>
      <c r="C58" s="165"/>
      <c r="D58" s="165"/>
      <c r="E58" s="165"/>
      <c r="F58" s="189"/>
      <c r="G58" s="32">
        <v>1</v>
      </c>
      <c r="H58" s="33">
        <v>285</v>
      </c>
      <c r="I58" s="33">
        <v>285</v>
      </c>
      <c r="J58" s="27">
        <v>150</v>
      </c>
      <c r="K58" s="19"/>
    </row>
    <row r="59" spans="1:11" ht="14.25" customHeight="1" x14ac:dyDescent="0.2">
      <c r="A59" s="144"/>
      <c r="B59" s="214"/>
      <c r="C59" s="165"/>
      <c r="D59" s="165"/>
      <c r="E59" s="165"/>
      <c r="F59" s="189"/>
      <c r="G59" s="32"/>
      <c r="H59" s="33"/>
      <c r="I59" s="33"/>
      <c r="J59" s="27"/>
      <c r="K59" s="19"/>
    </row>
    <row r="60" spans="1:11" ht="14.25" customHeight="1" x14ac:dyDescent="0.2">
      <c r="A60" s="144"/>
      <c r="B60" s="214"/>
      <c r="C60" s="165"/>
      <c r="D60" s="165"/>
      <c r="E60" s="165"/>
      <c r="F60" s="189"/>
      <c r="G60" s="32"/>
      <c r="H60" s="33"/>
      <c r="I60" s="33"/>
      <c r="J60" s="27"/>
      <c r="K60" s="19"/>
    </row>
    <row r="61" spans="1:11" ht="14.25" customHeight="1" x14ac:dyDescent="0.2">
      <c r="A61" s="62" t="s">
        <v>16</v>
      </c>
      <c r="B61" s="186" t="s">
        <v>17</v>
      </c>
      <c r="C61" s="168"/>
      <c r="D61" s="168"/>
      <c r="E61" s="168"/>
      <c r="F61" s="169"/>
      <c r="G61" s="10" t="s">
        <v>18</v>
      </c>
      <c r="H61" s="10" t="s">
        <v>19</v>
      </c>
      <c r="I61" s="10" t="s">
        <v>20</v>
      </c>
      <c r="J61" s="27"/>
      <c r="K61" s="19"/>
    </row>
    <row r="62" spans="1:11" ht="14.25" customHeight="1" x14ac:dyDescent="0.2">
      <c r="B62" s="223"/>
      <c r="C62" s="165"/>
      <c r="D62" s="165"/>
      <c r="E62" s="165"/>
      <c r="F62" s="189"/>
      <c r="G62" s="26"/>
      <c r="H62" s="33"/>
      <c r="I62" s="44"/>
      <c r="J62" s="27"/>
      <c r="K62" s="19"/>
    </row>
    <row r="63" spans="1:11" ht="14.25" customHeight="1" x14ac:dyDescent="0.2">
      <c r="B63" s="198" t="s">
        <v>57</v>
      </c>
      <c r="C63" s="165"/>
      <c r="D63" s="165"/>
      <c r="E63" s="165"/>
      <c r="F63" s="189"/>
      <c r="G63" s="26"/>
      <c r="H63" s="33"/>
      <c r="I63" s="44"/>
      <c r="J63" s="27"/>
      <c r="K63" s="19"/>
    </row>
    <row r="64" spans="1:11" ht="14.25" customHeight="1" x14ac:dyDescent="0.2">
      <c r="B64" s="65"/>
      <c r="C64" s="35"/>
      <c r="D64" s="35"/>
      <c r="E64" s="35"/>
      <c r="F64" s="45"/>
      <c r="G64" s="26"/>
      <c r="H64" s="33"/>
      <c r="I64" s="44"/>
      <c r="J64" s="27"/>
      <c r="K64" s="19"/>
    </row>
    <row r="65" spans="1:26" ht="14.25" customHeight="1" x14ac:dyDescent="0.2">
      <c r="A65" s="14">
        <v>1</v>
      </c>
      <c r="B65" s="196" t="s">
        <v>289</v>
      </c>
      <c r="C65" s="165"/>
      <c r="D65" s="165"/>
      <c r="E65" s="165"/>
      <c r="F65" s="189"/>
      <c r="G65" s="26">
        <v>4</v>
      </c>
      <c r="H65" s="33">
        <v>289</v>
      </c>
      <c r="I65" s="44">
        <v>1156</v>
      </c>
      <c r="J65" s="46">
        <v>704</v>
      </c>
      <c r="K65" s="27">
        <v>176</v>
      </c>
    </row>
    <row r="66" spans="1:26" ht="14.25" customHeight="1" x14ac:dyDescent="0.2">
      <c r="A66" s="14"/>
      <c r="B66" s="223"/>
      <c r="C66" s="165"/>
      <c r="D66" s="165"/>
      <c r="E66" s="165"/>
      <c r="F66" s="189"/>
      <c r="G66" s="26"/>
      <c r="H66" s="33"/>
      <c r="I66" s="44"/>
      <c r="J66" s="27"/>
      <c r="K66" s="19"/>
    </row>
    <row r="67" spans="1:26" ht="14.25" customHeight="1" x14ac:dyDescent="0.2">
      <c r="B67" s="198" t="s">
        <v>290</v>
      </c>
      <c r="C67" s="165"/>
      <c r="D67" s="165"/>
      <c r="E67" s="165"/>
      <c r="F67" s="189"/>
      <c r="G67" s="26"/>
      <c r="H67" s="24"/>
      <c r="I67" s="130"/>
      <c r="J67" s="27"/>
      <c r="K67" s="19"/>
      <c r="L67" s="38" t="s">
        <v>54</v>
      </c>
      <c r="M67" s="39" t="s">
        <v>55</v>
      </c>
      <c r="N67" s="40" t="s">
        <v>56</v>
      </c>
    </row>
    <row r="68" spans="1:26" ht="14.25" customHeight="1" x14ac:dyDescent="0.2">
      <c r="B68" s="65"/>
      <c r="C68" s="25"/>
      <c r="D68" s="25"/>
      <c r="E68" s="25"/>
      <c r="F68" s="131"/>
      <c r="G68" s="26"/>
      <c r="H68" s="24"/>
      <c r="I68" s="130"/>
      <c r="J68" s="27"/>
      <c r="K68" s="19"/>
      <c r="L68" s="41">
        <f>I74</f>
        <v>26909</v>
      </c>
      <c r="M68" s="42">
        <f>SUM(J21:J29,J33:J60,J61:J70)</f>
        <v>23548.7</v>
      </c>
      <c r="N68" s="132">
        <f>L68-M68</f>
        <v>3360.2999999999993</v>
      </c>
    </row>
    <row r="69" spans="1:26" ht="18" customHeight="1" x14ac:dyDescent="0.2">
      <c r="A69" s="133"/>
      <c r="B69" s="218" t="s">
        <v>291</v>
      </c>
      <c r="C69" s="165"/>
      <c r="D69" s="165"/>
      <c r="E69" s="165"/>
      <c r="F69" s="189"/>
      <c r="G69" s="26"/>
      <c r="H69" s="24"/>
      <c r="I69" s="134"/>
      <c r="J69" s="135"/>
      <c r="K69" s="136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spans="1:26" ht="14.25" customHeight="1" x14ac:dyDescent="0.2">
      <c r="A70" s="46">
        <v>1</v>
      </c>
      <c r="B70" s="197" t="s">
        <v>292</v>
      </c>
      <c r="C70" s="165"/>
      <c r="D70" s="165"/>
      <c r="E70" s="165"/>
      <c r="F70" s="189"/>
      <c r="G70" s="26">
        <v>4</v>
      </c>
      <c r="H70" s="130">
        <v>5499</v>
      </c>
      <c r="I70" s="130">
        <v>21996</v>
      </c>
      <c r="J70" s="46">
        <v>18672</v>
      </c>
      <c r="K70" s="27">
        <v>4668</v>
      </c>
    </row>
    <row r="71" spans="1:26" ht="14.25" customHeight="1" x14ac:dyDescent="0.2">
      <c r="B71" s="197"/>
      <c r="C71" s="165"/>
      <c r="D71" s="165"/>
      <c r="E71" s="165"/>
      <c r="F71" s="189"/>
      <c r="G71" s="26"/>
      <c r="H71" s="130"/>
      <c r="I71" s="130"/>
      <c r="J71" s="27"/>
      <c r="K71" s="19"/>
      <c r="R71" s="137"/>
    </row>
    <row r="72" spans="1:26" ht="27.75" customHeight="1" x14ac:dyDescent="0.2">
      <c r="A72" s="54"/>
      <c r="B72" s="220" t="s">
        <v>61</v>
      </c>
      <c r="C72" s="168"/>
      <c r="D72" s="168"/>
      <c r="E72" s="168"/>
      <c r="F72" s="169"/>
      <c r="G72" s="170" t="s">
        <v>62</v>
      </c>
      <c r="H72" s="168"/>
      <c r="I72" s="53">
        <f>SUM(I18:I71)</f>
        <v>26909</v>
      </c>
      <c r="J72" s="54"/>
      <c r="K72" s="12" t="s">
        <v>63</v>
      </c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24" customHeight="1" x14ac:dyDescent="0.2">
      <c r="B73" s="7"/>
      <c r="C73" s="7"/>
      <c r="D73" s="7"/>
      <c r="E73" s="7"/>
      <c r="F73" s="7"/>
      <c r="G73" s="170" t="s">
        <v>64</v>
      </c>
      <c r="H73" s="168"/>
      <c r="I73" s="53">
        <v>0</v>
      </c>
      <c r="K73" s="12" t="s">
        <v>65</v>
      </c>
    </row>
    <row r="74" spans="1:26" ht="24" customHeight="1" x14ac:dyDescent="0.2">
      <c r="B74" s="7"/>
      <c r="C74" s="7"/>
      <c r="D74" s="7"/>
      <c r="E74" s="7"/>
      <c r="F74" s="7"/>
      <c r="G74" s="162" t="s">
        <v>66</v>
      </c>
      <c r="H74" s="163"/>
      <c r="I74" s="55">
        <f>I72+I73</f>
        <v>26909</v>
      </c>
    </row>
    <row r="75" spans="1:26" ht="14.25" customHeight="1" x14ac:dyDescent="0.2">
      <c r="B75" s="20"/>
      <c r="C75" s="20"/>
      <c r="D75" s="20"/>
      <c r="E75" s="20"/>
      <c r="F75" s="20"/>
      <c r="G75" s="20"/>
      <c r="H75" s="20"/>
      <c r="I75" s="20"/>
    </row>
    <row r="76" spans="1:26" ht="14.25" customHeight="1" x14ac:dyDescent="0.2">
      <c r="B76" s="20"/>
      <c r="C76" s="20"/>
      <c r="D76" s="20"/>
      <c r="E76" s="20"/>
      <c r="F76" s="20"/>
      <c r="G76" s="20"/>
      <c r="H76" s="20"/>
      <c r="I76" s="20"/>
    </row>
    <row r="77" spans="1:26" ht="14.25" customHeight="1" x14ac:dyDescent="0.2">
      <c r="B77" s="20"/>
      <c r="C77" s="20"/>
      <c r="D77" s="20"/>
      <c r="E77" s="20"/>
      <c r="F77" s="20"/>
      <c r="G77" s="20"/>
      <c r="H77" s="20"/>
      <c r="I77" s="20"/>
    </row>
    <row r="78" spans="1:26" ht="14.25" customHeight="1" x14ac:dyDescent="0.2">
      <c r="B78" s="20"/>
      <c r="C78" s="20"/>
      <c r="D78" s="20"/>
      <c r="E78" s="20"/>
      <c r="F78" s="20"/>
      <c r="G78" s="20"/>
      <c r="H78" s="20"/>
      <c r="I78" s="20"/>
    </row>
    <row r="79" spans="1:26" ht="14.25" customHeight="1" x14ac:dyDescent="0.2">
      <c r="B79" s="20"/>
      <c r="C79" s="20"/>
      <c r="D79" s="20"/>
      <c r="E79" s="20"/>
      <c r="F79" s="20"/>
      <c r="G79" s="20"/>
      <c r="H79" s="20"/>
      <c r="I79" s="20"/>
    </row>
    <row r="80" spans="1:26" ht="14.25" customHeight="1" x14ac:dyDescent="0.2">
      <c r="B80" s="20"/>
      <c r="C80" s="20"/>
      <c r="D80" s="20"/>
      <c r="E80" s="20"/>
      <c r="F80" s="20"/>
      <c r="G80" s="20"/>
      <c r="H80" s="20"/>
      <c r="I80" s="20"/>
    </row>
    <row r="81" spans="2:11" ht="14.25" customHeight="1" x14ac:dyDescent="0.2">
      <c r="B81" s="20"/>
      <c r="C81" s="20"/>
      <c r="D81" s="20"/>
      <c r="E81" s="20"/>
      <c r="F81" s="20"/>
      <c r="G81" s="20"/>
      <c r="H81" s="20"/>
      <c r="I81" s="20"/>
    </row>
    <row r="82" spans="2:11" ht="14.25" customHeight="1" x14ac:dyDescent="0.2">
      <c r="B82" s="20"/>
      <c r="C82" s="20"/>
      <c r="D82" s="20"/>
      <c r="E82" s="20"/>
      <c r="F82" s="20"/>
      <c r="G82" s="20"/>
      <c r="H82" s="20"/>
      <c r="I82" s="20"/>
    </row>
    <row r="83" spans="2:11" ht="14.25" customHeight="1" x14ac:dyDescent="0.2">
      <c r="B83" s="20"/>
      <c r="C83" s="20"/>
      <c r="D83" s="20"/>
      <c r="E83" s="20"/>
      <c r="F83" s="20"/>
      <c r="G83" s="20"/>
      <c r="H83" s="20"/>
      <c r="I83" s="20"/>
    </row>
    <row r="84" spans="2:11" ht="14.25" customHeight="1" x14ac:dyDescent="0.2">
      <c r="B84" s="20"/>
      <c r="C84" s="20"/>
      <c r="D84" s="20"/>
      <c r="E84" s="20"/>
      <c r="F84" s="20"/>
      <c r="G84" s="20"/>
      <c r="H84" s="20"/>
      <c r="I84" s="20"/>
    </row>
    <row r="85" spans="2:11" ht="14.25" customHeight="1" x14ac:dyDescent="0.2">
      <c r="B85" s="20"/>
      <c r="C85" s="20"/>
      <c r="D85" s="20"/>
      <c r="E85" s="20"/>
      <c r="F85" s="20"/>
      <c r="G85" s="20"/>
      <c r="H85" s="20"/>
      <c r="I85" s="20"/>
    </row>
    <row r="86" spans="2:11" ht="14.25" customHeight="1" x14ac:dyDescent="0.2">
      <c r="B86" s="7"/>
      <c r="C86" s="7"/>
      <c r="D86" s="7"/>
      <c r="E86" s="7"/>
      <c r="F86" s="7"/>
      <c r="G86" s="7"/>
      <c r="H86" s="7"/>
      <c r="I86" s="7"/>
    </row>
    <row r="87" spans="2:11" ht="14.25" customHeight="1" x14ac:dyDescent="0.2">
      <c r="B87" s="7"/>
      <c r="C87" s="7"/>
      <c r="D87" s="7"/>
      <c r="E87" s="7"/>
      <c r="F87" s="7"/>
      <c r="G87" s="7"/>
      <c r="H87" s="7"/>
      <c r="I87" s="7"/>
    </row>
    <row r="88" spans="2:11" ht="14.25" customHeight="1" x14ac:dyDescent="0.2">
      <c r="B88" s="171" t="s">
        <v>67</v>
      </c>
      <c r="C88" s="165"/>
      <c r="D88" s="165"/>
      <c r="E88" s="165"/>
      <c r="F88" s="165"/>
      <c r="G88" s="165"/>
      <c r="H88" s="165"/>
      <c r="I88" s="165"/>
      <c r="K88" s="12" t="s">
        <v>68</v>
      </c>
    </row>
    <row r="89" spans="2:11" ht="14.25" customHeight="1" x14ac:dyDescent="0.2">
      <c r="B89" s="165"/>
      <c r="C89" s="165"/>
      <c r="D89" s="165"/>
      <c r="E89" s="165"/>
      <c r="F89" s="165"/>
      <c r="G89" s="165"/>
      <c r="H89" s="165"/>
      <c r="I89" s="165"/>
      <c r="K89" s="12"/>
    </row>
    <row r="90" spans="2:11" ht="14.25" customHeight="1" x14ac:dyDescent="0.2">
      <c r="B90" s="138"/>
      <c r="C90" s="138"/>
      <c r="D90" s="138"/>
      <c r="E90" s="138"/>
      <c r="F90" s="138"/>
      <c r="G90" s="138"/>
      <c r="H90" s="138"/>
      <c r="I90" s="138"/>
      <c r="K90" s="12"/>
    </row>
    <row r="91" spans="2:11" ht="14.25" customHeight="1" x14ac:dyDescent="0.2">
      <c r="B91" s="171" t="s">
        <v>278</v>
      </c>
      <c r="C91" s="165"/>
      <c r="D91" s="165"/>
      <c r="E91" s="165"/>
      <c r="F91" s="165"/>
      <c r="G91" s="165"/>
      <c r="H91" s="165"/>
      <c r="I91" s="165"/>
    </row>
    <row r="92" spans="2:11" ht="14.25" customHeight="1" x14ac:dyDescent="0.2">
      <c r="B92" s="20"/>
      <c r="C92" s="20"/>
      <c r="D92" s="20"/>
      <c r="E92" s="20"/>
      <c r="F92" s="20"/>
      <c r="G92" s="20"/>
      <c r="H92" s="20"/>
      <c r="I92" s="20"/>
    </row>
    <row r="93" spans="2:11" ht="14.25" customHeight="1" x14ac:dyDescent="0.2">
      <c r="B93" s="20"/>
      <c r="C93" s="20"/>
      <c r="D93" s="20"/>
      <c r="E93" s="20"/>
      <c r="F93" s="20"/>
      <c r="G93" s="20"/>
      <c r="H93" s="20"/>
      <c r="I93" s="20"/>
    </row>
    <row r="94" spans="2:11" ht="14.25" customHeight="1" x14ac:dyDescent="0.2">
      <c r="B94" s="20"/>
      <c r="C94" s="20"/>
      <c r="D94" s="20"/>
      <c r="E94" s="20"/>
      <c r="F94" s="20"/>
      <c r="G94" s="20"/>
      <c r="H94" s="20"/>
      <c r="I94" s="20"/>
    </row>
    <row r="95" spans="2:11" ht="14.25" customHeight="1" x14ac:dyDescent="0.2">
      <c r="B95" s="58"/>
    </row>
    <row r="96" spans="2:11" ht="170.25" customHeight="1" x14ac:dyDescent="0.2">
      <c r="B96" s="7"/>
      <c r="C96" s="7"/>
      <c r="D96" s="7"/>
      <c r="E96" s="7"/>
      <c r="F96" s="7"/>
      <c r="G96" s="164" t="s">
        <v>70</v>
      </c>
      <c r="H96" s="165"/>
      <c r="I96" s="165"/>
    </row>
    <row r="97" spans="2:11" ht="14.25" customHeight="1" x14ac:dyDescent="0.2">
      <c r="B97" s="222"/>
      <c r="C97" s="165"/>
      <c r="D97" s="165"/>
      <c r="E97" s="165"/>
      <c r="F97" s="165"/>
      <c r="G97" s="165"/>
      <c r="H97" s="165"/>
      <c r="I97" s="165"/>
      <c r="K97" s="12" t="s">
        <v>71</v>
      </c>
    </row>
    <row r="98" spans="2:11" ht="14.25" customHeight="1" x14ac:dyDescent="0.2">
      <c r="B98" s="59"/>
      <c r="C98" s="59"/>
      <c r="D98" s="59"/>
      <c r="E98" s="59"/>
      <c r="F98" s="59"/>
      <c r="G98" s="59"/>
      <c r="H98" s="59"/>
      <c r="I98" s="59"/>
      <c r="K98" s="12"/>
    </row>
    <row r="99" spans="2:11" ht="14.25" customHeight="1" x14ac:dyDescent="0.2"/>
    <row r="100" spans="2:11" ht="14.25" customHeight="1" x14ac:dyDescent="0.2"/>
    <row r="101" spans="2:11" ht="14.25" customHeight="1" x14ac:dyDescent="0.2"/>
    <row r="102" spans="2:11" ht="14.25" customHeight="1" x14ac:dyDescent="0.2"/>
    <row r="103" spans="2:11" ht="14.25" customHeight="1" x14ac:dyDescent="0.2"/>
    <row r="104" spans="2:11" ht="14.25" customHeight="1" x14ac:dyDescent="0.2"/>
    <row r="105" spans="2:11" ht="14.25" customHeight="1" x14ac:dyDescent="0.2"/>
    <row r="106" spans="2:11" ht="14.25" customHeight="1" x14ac:dyDescent="0.2"/>
    <row r="107" spans="2:11" ht="14.25" customHeight="1" x14ac:dyDescent="0.2"/>
    <row r="108" spans="2:11" ht="14.25" customHeight="1" x14ac:dyDescent="0.2"/>
    <row r="109" spans="2:11" ht="14.25" customHeight="1" x14ac:dyDescent="0.2"/>
    <row r="110" spans="2:11" ht="14.25" customHeight="1" x14ac:dyDescent="0.2"/>
    <row r="111" spans="2:11" ht="14.25" customHeight="1" x14ac:dyDescent="0.2"/>
    <row r="112" spans="2:11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spans="2:2" ht="14.25" customHeight="1" x14ac:dyDescent="0.2"/>
    <row r="130" spans="2:2" ht="14.25" customHeight="1" x14ac:dyDescent="0.2"/>
    <row r="131" spans="2:2" ht="14.25" customHeight="1" x14ac:dyDescent="0.2"/>
    <row r="132" spans="2:2" ht="14.25" customHeight="1" x14ac:dyDescent="0.2"/>
    <row r="133" spans="2:2" ht="14.25" customHeight="1" x14ac:dyDescent="0.2"/>
    <row r="134" spans="2:2" ht="14.25" customHeight="1" x14ac:dyDescent="0.2"/>
    <row r="135" spans="2:2" ht="14.25" customHeight="1" x14ac:dyDescent="0.2"/>
    <row r="136" spans="2:2" ht="14.25" customHeight="1" x14ac:dyDescent="0.2">
      <c r="B136" s="46" t="s">
        <v>69</v>
      </c>
    </row>
    <row r="137" spans="2:2" ht="14.25" customHeight="1" x14ac:dyDescent="0.2"/>
    <row r="138" spans="2:2" ht="14.25" customHeight="1" x14ac:dyDescent="0.2"/>
    <row r="139" spans="2:2" ht="14.25" customHeight="1" x14ac:dyDescent="0.2"/>
    <row r="140" spans="2:2" ht="14.25" customHeight="1" x14ac:dyDescent="0.2"/>
    <row r="141" spans="2:2" ht="14.25" customHeight="1" x14ac:dyDescent="0.2"/>
    <row r="142" spans="2:2" ht="14.25" customHeight="1" x14ac:dyDescent="0.2"/>
    <row r="143" spans="2:2" ht="14.25" customHeight="1" x14ac:dyDescent="0.2"/>
    <row r="144" spans="2:2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55">
    <mergeCell ref="G4:H4"/>
    <mergeCell ref="G5:H5"/>
    <mergeCell ref="G6:H6"/>
    <mergeCell ref="G7:H7"/>
    <mergeCell ref="A9:D9"/>
    <mergeCell ref="B17:F17"/>
    <mergeCell ref="B18:F18"/>
    <mergeCell ref="B19:F19"/>
    <mergeCell ref="B21:F21"/>
    <mergeCell ref="B22:F22"/>
    <mergeCell ref="A23:A24"/>
    <mergeCell ref="G23:G24"/>
    <mergeCell ref="H23:H24"/>
    <mergeCell ref="I23:I24"/>
    <mergeCell ref="B23:F24"/>
    <mergeCell ref="B25:F26"/>
    <mergeCell ref="G25:G26"/>
    <mergeCell ref="H25:H26"/>
    <mergeCell ref="I25:I26"/>
    <mergeCell ref="B27:F27"/>
    <mergeCell ref="B31:F31"/>
    <mergeCell ref="B33:F33"/>
    <mergeCell ref="B34:F36"/>
    <mergeCell ref="G34:G36"/>
    <mergeCell ref="B37:F38"/>
    <mergeCell ref="G37:G38"/>
    <mergeCell ref="B39:F40"/>
    <mergeCell ref="G39:G40"/>
    <mergeCell ref="B41:F45"/>
    <mergeCell ref="B46:F46"/>
    <mergeCell ref="B47:F51"/>
    <mergeCell ref="B52:F52"/>
    <mergeCell ref="B53:F53"/>
    <mergeCell ref="B54:F54"/>
    <mergeCell ref="B55:F55"/>
    <mergeCell ref="B56:F56"/>
    <mergeCell ref="B57:F57"/>
    <mergeCell ref="B58:F60"/>
    <mergeCell ref="B61:F61"/>
    <mergeCell ref="B62:F62"/>
    <mergeCell ref="B63:F63"/>
    <mergeCell ref="B65:F65"/>
    <mergeCell ref="G73:H73"/>
    <mergeCell ref="G74:H74"/>
    <mergeCell ref="B88:I89"/>
    <mergeCell ref="B91:I91"/>
    <mergeCell ref="G96:I96"/>
    <mergeCell ref="B97:I97"/>
    <mergeCell ref="B66:F66"/>
    <mergeCell ref="B67:F67"/>
    <mergeCell ref="B69:F69"/>
    <mergeCell ref="B70:F70"/>
    <mergeCell ref="B71:F71"/>
    <mergeCell ref="B72:F72"/>
    <mergeCell ref="G72:H72"/>
  </mergeCells>
  <hyperlinks>
    <hyperlink ref="K3" r:id="rId1" xr:uid="{00000000-0004-0000-1100-000000000000}"/>
  </hyperlinks>
  <printOptions horizontalCentered="1"/>
  <pageMargins left="0.5" right="0.5" top="0.5" bottom="0.5" header="0" footer="0"/>
  <pageSetup orientation="portrait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showGridLines="0" workbookViewId="0"/>
  </sheetViews>
  <sheetFormatPr defaultColWidth="12.625" defaultRowHeight="15" customHeight="1" x14ac:dyDescent="0.2"/>
  <cols>
    <col min="1" max="1" width="3.375" customWidth="1"/>
    <col min="2" max="2" width="3" customWidth="1"/>
    <col min="4" max="4" width="17.625" customWidth="1"/>
    <col min="5" max="7" width="6.625" customWidth="1"/>
    <col min="9" max="9" width="17.625" customWidth="1"/>
    <col min="10" max="10" width="8.625" customWidth="1"/>
    <col min="11" max="11" width="22.375" customWidth="1"/>
    <col min="12" max="12" width="13.375" customWidth="1"/>
    <col min="13" max="13" width="11.375" customWidth="1"/>
    <col min="14" max="14" width="11.5" customWidth="1"/>
    <col min="15" max="26" width="8.625" customWidth="1"/>
  </cols>
  <sheetData>
    <row r="1" spans="1:11" ht="14.25" customHeight="1" x14ac:dyDescent="0.2">
      <c r="A1" s="2" t="s">
        <v>0</v>
      </c>
      <c r="C1" s="2"/>
      <c r="D1" s="2"/>
      <c r="E1" s="2"/>
      <c r="F1" s="3"/>
      <c r="H1" s="4"/>
      <c r="I1" s="5" t="s">
        <v>1</v>
      </c>
    </row>
    <row r="2" spans="1:11" ht="14.25" customHeight="1" x14ac:dyDescent="0.2">
      <c r="A2" s="6" t="s">
        <v>2</v>
      </c>
      <c r="C2" s="6"/>
      <c r="D2" s="6"/>
      <c r="E2" s="6"/>
      <c r="F2" s="6"/>
      <c r="G2" s="6"/>
      <c r="H2" s="7"/>
      <c r="I2" s="7"/>
      <c r="K2" s="8" t="s">
        <v>3</v>
      </c>
    </row>
    <row r="3" spans="1:11" ht="14.25" customHeight="1" x14ac:dyDescent="0.2">
      <c r="A3" s="6" t="s">
        <v>4</v>
      </c>
      <c r="C3" s="6"/>
      <c r="D3" s="6"/>
      <c r="E3" s="6"/>
      <c r="F3" s="6"/>
      <c r="K3" s="9" t="s">
        <v>5</v>
      </c>
    </row>
    <row r="4" spans="1:11" ht="14.25" customHeight="1" x14ac:dyDescent="0.2">
      <c r="A4" s="6" t="s">
        <v>6</v>
      </c>
      <c r="C4" s="123"/>
      <c r="D4" s="123"/>
      <c r="E4" s="6"/>
      <c r="F4" s="6"/>
      <c r="G4" s="186" t="s">
        <v>132</v>
      </c>
      <c r="H4" s="169"/>
      <c r="I4" s="10" t="s">
        <v>8</v>
      </c>
      <c r="K4" s="8"/>
    </row>
    <row r="5" spans="1:11" ht="14.25" customHeight="1" x14ac:dyDescent="0.2">
      <c r="A5" s="6" t="s">
        <v>9</v>
      </c>
      <c r="C5" s="6"/>
      <c r="D5" s="6"/>
      <c r="E5" s="6"/>
      <c r="F5" s="6"/>
      <c r="G5" s="205">
        <v>2293</v>
      </c>
      <c r="H5" s="169"/>
      <c r="I5" s="11">
        <v>44827</v>
      </c>
      <c r="K5" s="12" t="s">
        <v>10</v>
      </c>
    </row>
    <row r="6" spans="1:11" ht="14.25" customHeight="1" x14ac:dyDescent="0.2">
      <c r="A6" s="6" t="s">
        <v>11</v>
      </c>
      <c r="C6" s="6"/>
      <c r="D6" s="6"/>
      <c r="E6" s="6"/>
      <c r="F6" s="6"/>
      <c r="G6" s="186" t="s">
        <v>134</v>
      </c>
      <c r="H6" s="169"/>
      <c r="I6" s="10" t="s">
        <v>135</v>
      </c>
      <c r="K6" s="12"/>
    </row>
    <row r="7" spans="1:11" ht="14.25" customHeight="1" x14ac:dyDescent="0.2">
      <c r="B7" s="6"/>
      <c r="C7" s="6"/>
      <c r="D7" s="6"/>
      <c r="E7" s="6"/>
      <c r="F7" s="6"/>
      <c r="G7" s="205"/>
      <c r="H7" s="169"/>
      <c r="I7" s="11">
        <f>I5+15</f>
        <v>44842</v>
      </c>
      <c r="K7" s="8"/>
    </row>
    <row r="8" spans="1:11" ht="18" customHeight="1" x14ac:dyDescent="0.2">
      <c r="B8" s="6"/>
      <c r="C8" s="6"/>
      <c r="D8" s="6"/>
      <c r="E8" s="6"/>
      <c r="F8" s="6"/>
      <c r="G8" s="15"/>
      <c r="H8" s="15"/>
      <c r="I8" s="16"/>
      <c r="K8" s="8"/>
    </row>
    <row r="9" spans="1:11" ht="19.5" customHeight="1" x14ac:dyDescent="0.2">
      <c r="A9" s="172" t="s">
        <v>12</v>
      </c>
      <c r="B9" s="173"/>
      <c r="C9" s="173"/>
      <c r="D9" s="174"/>
      <c r="E9" s="6"/>
      <c r="H9" s="17" t="s">
        <v>13</v>
      </c>
      <c r="I9" s="18"/>
      <c r="K9" s="19"/>
    </row>
    <row r="10" spans="1:11" ht="14.25" customHeight="1" x14ac:dyDescent="0.2">
      <c r="A10" s="6" t="s">
        <v>254</v>
      </c>
      <c r="C10" s="6"/>
      <c r="D10" s="6"/>
      <c r="E10" s="6"/>
      <c r="H10" s="17"/>
      <c r="I10" s="18"/>
      <c r="K10" s="19"/>
    </row>
    <row r="11" spans="1:11" ht="14.25" customHeight="1" x14ac:dyDescent="0.2">
      <c r="A11" s="6" t="s">
        <v>255</v>
      </c>
      <c r="C11" s="6"/>
      <c r="D11" s="6"/>
      <c r="E11" s="6"/>
      <c r="H11" s="17"/>
      <c r="I11" s="18"/>
      <c r="K11" s="19"/>
    </row>
    <row r="12" spans="1:11" ht="14.25" customHeight="1" x14ac:dyDescent="0.2">
      <c r="A12" s="6" t="s">
        <v>256</v>
      </c>
      <c r="C12" s="6"/>
      <c r="D12" s="6"/>
      <c r="E12" s="6"/>
    </row>
    <row r="13" spans="1:11" ht="14.25" customHeight="1" x14ac:dyDescent="0.2">
      <c r="A13" s="6" t="s">
        <v>257</v>
      </c>
      <c r="C13" s="6"/>
      <c r="D13" s="6"/>
      <c r="E13" s="6"/>
    </row>
    <row r="14" spans="1:11" ht="14.25" customHeight="1" x14ac:dyDescent="0.2">
      <c r="A14" s="6" t="s">
        <v>258</v>
      </c>
      <c r="C14" s="6"/>
      <c r="D14" s="6"/>
      <c r="E14" s="6"/>
    </row>
    <row r="15" spans="1:11" ht="14.25" customHeight="1" x14ac:dyDescent="0.2">
      <c r="A15" s="6" t="s">
        <v>259</v>
      </c>
      <c r="C15" s="6"/>
      <c r="D15" s="6"/>
      <c r="E15" s="6"/>
      <c r="F15" s="6"/>
    </row>
    <row r="16" spans="1:11" ht="14.25" customHeight="1" x14ac:dyDescent="0.2">
      <c r="B16" s="6"/>
      <c r="C16" s="6"/>
      <c r="D16" s="6"/>
      <c r="E16" s="6"/>
      <c r="F16" s="6"/>
      <c r="G16" s="6"/>
      <c r="H16" s="6"/>
      <c r="I16" s="6"/>
      <c r="K16" s="19"/>
    </row>
    <row r="17" spans="1:11" ht="19.5" customHeight="1" x14ac:dyDescent="0.2">
      <c r="A17" s="62" t="s">
        <v>16</v>
      </c>
      <c r="B17" s="186" t="s">
        <v>17</v>
      </c>
      <c r="C17" s="168"/>
      <c r="D17" s="168"/>
      <c r="E17" s="168"/>
      <c r="F17" s="169"/>
      <c r="G17" s="10" t="s">
        <v>18</v>
      </c>
      <c r="H17" s="10" t="s">
        <v>19</v>
      </c>
      <c r="I17" s="10" t="s">
        <v>20</v>
      </c>
      <c r="K17" s="19"/>
    </row>
    <row r="18" spans="1:11" ht="19.5" customHeight="1" x14ac:dyDescent="0.2">
      <c r="A18" s="125"/>
      <c r="B18" s="127"/>
      <c r="C18" s="125"/>
      <c r="D18" s="125"/>
      <c r="E18" s="125"/>
      <c r="F18" s="128"/>
      <c r="G18" s="126"/>
      <c r="H18" s="126"/>
      <c r="I18" s="126"/>
      <c r="K18" s="19"/>
    </row>
    <row r="19" spans="1:11" ht="30.75" customHeight="1" x14ac:dyDescent="0.2">
      <c r="B19" s="218" t="s">
        <v>293</v>
      </c>
      <c r="C19" s="165"/>
      <c r="D19" s="165"/>
      <c r="E19" s="165"/>
      <c r="F19" s="189"/>
      <c r="G19" s="26"/>
      <c r="H19" s="24"/>
      <c r="I19" s="24"/>
      <c r="J19" s="27"/>
      <c r="K19" s="146">
        <f>SUM(I19:I29)</f>
        <v>3345</v>
      </c>
    </row>
    <row r="20" spans="1:11" ht="14.25" customHeight="1" x14ac:dyDescent="0.2">
      <c r="B20" s="147"/>
      <c r="C20" s="148"/>
      <c r="D20" s="148"/>
      <c r="E20" s="148"/>
      <c r="F20" s="149"/>
      <c r="G20" s="26"/>
      <c r="H20" s="24"/>
      <c r="I20" s="24"/>
      <c r="J20" s="27"/>
      <c r="K20" s="19"/>
    </row>
    <row r="21" spans="1:11" ht="14.25" customHeight="1" x14ac:dyDescent="0.2">
      <c r="A21" s="14">
        <v>1</v>
      </c>
      <c r="B21" s="219" t="s">
        <v>42</v>
      </c>
      <c r="C21" s="165"/>
      <c r="D21" s="165"/>
      <c r="E21" s="165"/>
      <c r="F21" s="189"/>
      <c r="G21" s="32">
        <v>3</v>
      </c>
      <c r="H21" s="33">
        <v>400</v>
      </c>
      <c r="I21" s="33">
        <v>1200</v>
      </c>
      <c r="J21" s="27">
        <v>600</v>
      </c>
      <c r="K21" s="19"/>
    </row>
    <row r="22" spans="1:11" ht="14.25" customHeight="1" x14ac:dyDescent="0.2">
      <c r="A22" s="216">
        <v>2</v>
      </c>
      <c r="B22" s="196" t="s">
        <v>294</v>
      </c>
      <c r="C22" s="165"/>
      <c r="D22" s="165"/>
      <c r="E22" s="165"/>
      <c r="F22" s="189"/>
      <c r="G22" s="217">
        <v>3</v>
      </c>
      <c r="H22" s="68">
        <v>450</v>
      </c>
      <c r="I22" s="68">
        <v>1350</v>
      </c>
      <c r="J22" s="27">
        <v>900</v>
      </c>
      <c r="K22" s="19"/>
    </row>
    <row r="23" spans="1:11" ht="14.25" customHeight="1" x14ac:dyDescent="0.2">
      <c r="A23" s="189"/>
      <c r="B23" s="214"/>
      <c r="C23" s="165"/>
      <c r="D23" s="165"/>
      <c r="E23" s="165"/>
      <c r="F23" s="189"/>
      <c r="G23" s="194"/>
      <c r="H23" s="68"/>
      <c r="I23" s="68"/>
      <c r="J23" s="27"/>
      <c r="K23" s="19"/>
    </row>
    <row r="24" spans="1:11" ht="14.25" customHeight="1" x14ac:dyDescent="0.2">
      <c r="A24" s="189"/>
      <c r="B24" s="214"/>
      <c r="C24" s="165"/>
      <c r="D24" s="165"/>
      <c r="E24" s="165"/>
      <c r="F24" s="189"/>
      <c r="G24" s="194"/>
      <c r="H24" s="68"/>
      <c r="I24" s="68"/>
      <c r="J24" s="27"/>
      <c r="K24" s="19"/>
    </row>
    <row r="25" spans="1:11" ht="14.25" customHeight="1" x14ac:dyDescent="0.2">
      <c r="A25" s="216">
        <v>3</v>
      </c>
      <c r="B25" s="196" t="s">
        <v>234</v>
      </c>
      <c r="C25" s="165"/>
      <c r="D25" s="165"/>
      <c r="E25" s="165"/>
      <c r="F25" s="189"/>
      <c r="G25" s="217">
        <v>3</v>
      </c>
      <c r="H25" s="68">
        <v>180</v>
      </c>
      <c r="I25" s="68">
        <v>540</v>
      </c>
      <c r="J25" s="27">
        <v>300</v>
      </c>
      <c r="K25" s="19"/>
    </row>
    <row r="26" spans="1:11" ht="14.25" customHeight="1" x14ac:dyDescent="0.2">
      <c r="A26" s="189"/>
      <c r="B26" s="214"/>
      <c r="C26" s="165"/>
      <c r="D26" s="165"/>
      <c r="E26" s="165"/>
      <c r="F26" s="189"/>
      <c r="G26" s="194"/>
      <c r="H26" s="68"/>
      <c r="I26" s="68"/>
      <c r="J26" s="27"/>
      <c r="K26" s="19"/>
    </row>
    <row r="27" spans="1:11" ht="14.25" customHeight="1" x14ac:dyDescent="0.2">
      <c r="A27" s="14">
        <v>4</v>
      </c>
      <c r="B27" s="196" t="s">
        <v>43</v>
      </c>
      <c r="C27" s="165"/>
      <c r="D27" s="165"/>
      <c r="E27" s="165"/>
      <c r="F27" s="189"/>
      <c r="G27" s="217">
        <v>3</v>
      </c>
      <c r="H27" s="68">
        <v>65</v>
      </c>
      <c r="I27" s="68">
        <v>195</v>
      </c>
      <c r="J27" s="27">
        <v>129</v>
      </c>
      <c r="K27" s="19"/>
    </row>
    <row r="28" spans="1:11" ht="14.25" customHeight="1" x14ac:dyDescent="0.2">
      <c r="A28" s="14"/>
      <c r="B28" s="214"/>
      <c r="C28" s="165"/>
      <c r="D28" s="165"/>
      <c r="E28" s="165"/>
      <c r="F28" s="189"/>
      <c r="G28" s="194"/>
      <c r="H28" s="68"/>
      <c r="I28" s="68"/>
      <c r="J28" s="27"/>
      <c r="K28" s="19"/>
    </row>
    <row r="29" spans="1:11" ht="14.25" customHeight="1" x14ac:dyDescent="0.2">
      <c r="A29" s="14">
        <v>5</v>
      </c>
      <c r="B29" s="196" t="s">
        <v>235</v>
      </c>
      <c r="C29" s="165"/>
      <c r="D29" s="165"/>
      <c r="E29" s="165"/>
      <c r="F29" s="189"/>
      <c r="G29" s="32">
        <v>3</v>
      </c>
      <c r="H29" s="68">
        <v>20</v>
      </c>
      <c r="I29" s="68">
        <v>60</v>
      </c>
      <c r="J29" s="27">
        <v>30</v>
      </c>
      <c r="K29" s="19"/>
    </row>
    <row r="30" spans="1:11" ht="14.25" customHeight="1" x14ac:dyDescent="0.2">
      <c r="B30" s="139"/>
      <c r="C30" s="108"/>
      <c r="D30" s="108"/>
      <c r="E30" s="108"/>
      <c r="F30" s="109"/>
      <c r="G30" s="26"/>
      <c r="H30" s="24"/>
      <c r="I30" s="24"/>
      <c r="J30" s="27"/>
      <c r="K30" s="19"/>
    </row>
    <row r="31" spans="1:11" ht="14.25" customHeight="1" x14ac:dyDescent="0.2">
      <c r="B31" s="198" t="s">
        <v>57</v>
      </c>
      <c r="C31" s="165"/>
      <c r="D31" s="165"/>
      <c r="E31" s="165"/>
      <c r="F31" s="189"/>
      <c r="G31" s="26"/>
      <c r="H31" s="33"/>
      <c r="I31" s="44"/>
      <c r="J31" s="27"/>
      <c r="K31" s="19"/>
    </row>
    <row r="32" spans="1:11" ht="14.25" customHeight="1" x14ac:dyDescent="0.2">
      <c r="B32" s="65"/>
      <c r="C32" s="35"/>
      <c r="D32" s="35"/>
      <c r="E32" s="35"/>
      <c r="F32" s="45"/>
      <c r="G32" s="26"/>
      <c r="H32" s="33"/>
      <c r="I32" s="44"/>
      <c r="J32" s="27"/>
      <c r="K32" s="19"/>
    </row>
    <row r="33" spans="1:26" ht="14.25" customHeight="1" x14ac:dyDescent="0.2">
      <c r="A33" s="14">
        <v>1</v>
      </c>
      <c r="B33" s="196" t="s">
        <v>295</v>
      </c>
      <c r="C33" s="165"/>
      <c r="D33" s="165"/>
      <c r="E33" s="165"/>
      <c r="F33" s="189"/>
      <c r="G33" s="26">
        <v>2</v>
      </c>
      <c r="H33" s="33">
        <v>349</v>
      </c>
      <c r="I33" s="44">
        <v>698</v>
      </c>
      <c r="J33" s="46">
        <v>334</v>
      </c>
      <c r="K33" s="27">
        <v>167</v>
      </c>
    </row>
    <row r="34" spans="1:26" ht="14.25" customHeight="1" x14ac:dyDescent="0.2">
      <c r="A34" s="14">
        <v>2</v>
      </c>
      <c r="B34" s="196" t="s">
        <v>296</v>
      </c>
      <c r="C34" s="165"/>
      <c r="D34" s="165"/>
      <c r="E34" s="165"/>
      <c r="F34" s="189"/>
      <c r="G34" s="26">
        <v>1</v>
      </c>
      <c r="H34" s="33">
        <v>379</v>
      </c>
      <c r="I34" s="44">
        <v>379</v>
      </c>
      <c r="J34" s="46">
        <v>344</v>
      </c>
      <c r="K34" s="27">
        <v>344</v>
      </c>
    </row>
    <row r="35" spans="1:26" ht="14.25" customHeight="1" x14ac:dyDescent="0.2">
      <c r="A35" s="14"/>
      <c r="B35" s="223"/>
      <c r="C35" s="165"/>
      <c r="D35" s="165"/>
      <c r="E35" s="165"/>
      <c r="F35" s="189"/>
      <c r="G35" s="26"/>
      <c r="H35" s="33"/>
      <c r="I35" s="44"/>
      <c r="J35" s="27"/>
      <c r="K35" s="19"/>
    </row>
    <row r="36" spans="1:26" ht="14.25" customHeight="1" x14ac:dyDescent="0.2">
      <c r="B36" s="198" t="s">
        <v>290</v>
      </c>
      <c r="C36" s="165"/>
      <c r="D36" s="165"/>
      <c r="E36" s="165"/>
      <c r="F36" s="189"/>
      <c r="G36" s="26"/>
      <c r="H36" s="24"/>
      <c r="I36" s="130"/>
      <c r="J36" s="27"/>
      <c r="K36" s="19"/>
      <c r="L36" s="38" t="s">
        <v>54</v>
      </c>
      <c r="M36" s="39" t="s">
        <v>55</v>
      </c>
      <c r="N36" s="40" t="s">
        <v>56</v>
      </c>
    </row>
    <row r="37" spans="1:26" ht="14.25" customHeight="1" x14ac:dyDescent="0.2">
      <c r="B37" s="65"/>
      <c r="C37" s="25"/>
      <c r="D37" s="25"/>
      <c r="E37" s="25"/>
      <c r="F37" s="131"/>
      <c r="G37" s="26"/>
      <c r="H37" s="24"/>
      <c r="I37" s="130"/>
      <c r="J37" s="27"/>
      <c r="K37" s="19"/>
      <c r="L37" s="41">
        <f>I43</f>
        <v>4422</v>
      </c>
      <c r="M37" s="42">
        <f>SUM(J21:J39)</f>
        <v>13992</v>
      </c>
      <c r="N37" s="43">
        <f>L37-M37</f>
        <v>-9570</v>
      </c>
    </row>
    <row r="38" spans="1:26" ht="18" customHeight="1" x14ac:dyDescent="0.2">
      <c r="A38" s="133"/>
      <c r="B38" s="218" t="s">
        <v>291</v>
      </c>
      <c r="C38" s="165"/>
      <c r="D38" s="165"/>
      <c r="E38" s="165"/>
      <c r="F38" s="189"/>
      <c r="G38" s="26"/>
      <c r="H38" s="24"/>
      <c r="I38" s="134"/>
      <c r="J38" s="135"/>
      <c r="K38" s="136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spans="1:26" ht="14.25" customHeight="1" x14ac:dyDescent="0.2">
      <c r="A39" s="46">
        <v>1</v>
      </c>
      <c r="B39" s="197" t="s">
        <v>297</v>
      </c>
      <c r="C39" s="165"/>
      <c r="D39" s="165"/>
      <c r="E39" s="165"/>
      <c r="F39" s="189"/>
      <c r="G39" s="26">
        <v>3</v>
      </c>
      <c r="H39" s="130">
        <v>4259</v>
      </c>
      <c r="I39" s="130">
        <v>0</v>
      </c>
      <c r="J39" s="46">
        <v>11355</v>
      </c>
      <c r="K39" s="27">
        <v>3785</v>
      </c>
      <c r="R39" s="137"/>
    </row>
    <row r="40" spans="1:26" ht="14.25" customHeight="1" x14ac:dyDescent="0.2">
      <c r="B40" s="197"/>
      <c r="C40" s="165"/>
      <c r="D40" s="165"/>
      <c r="E40" s="165"/>
      <c r="F40" s="189"/>
      <c r="G40" s="26"/>
      <c r="H40" s="130"/>
      <c r="I40" s="130"/>
      <c r="J40" s="27"/>
      <c r="K40" s="19"/>
      <c r="R40" s="137"/>
    </row>
    <row r="41" spans="1:26" ht="27.75" customHeight="1" x14ac:dyDescent="0.2">
      <c r="A41" s="54"/>
      <c r="B41" s="220" t="s">
        <v>61</v>
      </c>
      <c r="C41" s="168"/>
      <c r="D41" s="168"/>
      <c r="E41" s="168"/>
      <c r="F41" s="169"/>
      <c r="G41" s="170" t="s">
        <v>62</v>
      </c>
      <c r="H41" s="168"/>
      <c r="I41" s="53">
        <f>SUM(I19:I40)</f>
        <v>4422</v>
      </c>
      <c r="J41" s="54"/>
      <c r="K41" s="12" t="s">
        <v>63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24" customHeight="1" x14ac:dyDescent="0.2">
      <c r="B42" s="7"/>
      <c r="C42" s="7"/>
      <c r="D42" s="7"/>
      <c r="E42" s="7"/>
      <c r="F42" s="7"/>
      <c r="G42" s="170" t="s">
        <v>64</v>
      </c>
      <c r="H42" s="168"/>
      <c r="I42" s="53">
        <v>0</v>
      </c>
      <c r="K42" s="12" t="s">
        <v>65</v>
      </c>
    </row>
    <row r="43" spans="1:26" ht="24" customHeight="1" x14ac:dyDescent="0.2">
      <c r="B43" s="7"/>
      <c r="C43" s="7"/>
      <c r="D43" s="7"/>
      <c r="E43" s="7"/>
      <c r="F43" s="7"/>
      <c r="G43" s="162" t="s">
        <v>66</v>
      </c>
      <c r="H43" s="163"/>
      <c r="I43" s="55">
        <f>I41+I42</f>
        <v>4422</v>
      </c>
    </row>
    <row r="44" spans="1:26" ht="14.25" customHeight="1" x14ac:dyDescent="0.2">
      <c r="B44" s="7"/>
      <c r="C44" s="7"/>
      <c r="D44" s="7"/>
      <c r="E44" s="7"/>
      <c r="F44" s="7"/>
      <c r="G44" s="7"/>
      <c r="H44" s="7"/>
      <c r="I44" s="7"/>
    </row>
    <row r="45" spans="1:26" ht="14.25" customHeight="1" x14ac:dyDescent="0.2">
      <c r="B45" s="7"/>
      <c r="C45" s="7"/>
      <c r="D45" s="7"/>
      <c r="E45" s="7"/>
      <c r="F45" s="7"/>
      <c r="G45" s="7"/>
      <c r="H45" s="7"/>
      <c r="I45" s="7"/>
    </row>
    <row r="46" spans="1:26" ht="14.25" customHeight="1" x14ac:dyDescent="0.2">
      <c r="B46" s="7"/>
      <c r="C46" s="7"/>
      <c r="D46" s="7"/>
      <c r="E46" s="7"/>
      <c r="F46" s="7"/>
      <c r="G46" s="7"/>
      <c r="H46" s="7"/>
      <c r="I46" s="7"/>
    </row>
    <row r="47" spans="1:26" ht="14.25" customHeight="1" x14ac:dyDescent="0.2">
      <c r="B47" s="7"/>
      <c r="C47" s="7"/>
      <c r="D47" s="7"/>
      <c r="E47" s="7"/>
      <c r="F47" s="7"/>
      <c r="G47" s="7"/>
      <c r="H47" s="7"/>
      <c r="I47" s="7"/>
    </row>
    <row r="48" spans="1:26" ht="14.25" customHeight="1" x14ac:dyDescent="0.2">
      <c r="B48" s="7"/>
      <c r="C48" s="7"/>
      <c r="D48" s="7"/>
      <c r="E48" s="7"/>
      <c r="F48" s="7"/>
      <c r="G48" s="7"/>
      <c r="H48" s="7"/>
      <c r="I48" s="7"/>
    </row>
    <row r="49" spans="2:11" ht="14.25" customHeight="1" x14ac:dyDescent="0.2">
      <c r="B49" s="7"/>
      <c r="C49" s="7"/>
      <c r="D49" s="7"/>
      <c r="E49" s="7"/>
      <c r="F49" s="7"/>
      <c r="G49" s="7"/>
      <c r="H49" s="7"/>
      <c r="I49" s="7"/>
    </row>
    <row r="50" spans="2:11" ht="14.25" customHeight="1" x14ac:dyDescent="0.2">
      <c r="B50" s="7"/>
      <c r="C50" s="7"/>
      <c r="D50" s="7"/>
      <c r="E50" s="7"/>
      <c r="F50" s="7"/>
      <c r="G50" s="7"/>
      <c r="H50" s="7"/>
      <c r="I50" s="7"/>
    </row>
    <row r="51" spans="2:11" ht="14.25" customHeight="1" x14ac:dyDescent="0.2">
      <c r="B51" s="171" t="s">
        <v>67</v>
      </c>
      <c r="C51" s="165"/>
      <c r="D51" s="165"/>
      <c r="E51" s="165"/>
      <c r="F51" s="165"/>
      <c r="G51" s="165"/>
      <c r="H51" s="165"/>
      <c r="I51" s="165"/>
      <c r="K51" s="12" t="s">
        <v>68</v>
      </c>
    </row>
    <row r="52" spans="2:11" ht="14.25" customHeight="1" x14ac:dyDescent="0.2">
      <c r="B52" s="165"/>
      <c r="C52" s="165"/>
      <c r="D52" s="165"/>
      <c r="E52" s="165"/>
      <c r="F52" s="165"/>
      <c r="G52" s="165"/>
      <c r="H52" s="165"/>
      <c r="I52" s="165"/>
      <c r="K52" s="12"/>
    </row>
    <row r="53" spans="2:11" ht="14.25" customHeight="1" x14ac:dyDescent="0.2">
      <c r="B53" s="138"/>
      <c r="C53" s="138"/>
      <c r="D53" s="138"/>
      <c r="E53" s="138"/>
      <c r="F53" s="138"/>
      <c r="G53" s="138"/>
      <c r="H53" s="138"/>
      <c r="I53" s="138"/>
      <c r="K53" s="12"/>
    </row>
    <row r="54" spans="2:11" ht="14.25" customHeight="1" x14ac:dyDescent="0.2">
      <c r="B54" s="171" t="s">
        <v>278</v>
      </c>
      <c r="C54" s="165"/>
      <c r="D54" s="165"/>
      <c r="E54" s="165"/>
      <c r="F54" s="165"/>
      <c r="G54" s="165"/>
      <c r="H54" s="165"/>
      <c r="I54" s="165"/>
    </row>
    <row r="55" spans="2:11" ht="14.25" customHeight="1" x14ac:dyDescent="0.2">
      <c r="B55" s="20"/>
      <c r="C55" s="20"/>
      <c r="D55" s="20"/>
      <c r="E55" s="20"/>
      <c r="F55" s="20"/>
      <c r="G55" s="20"/>
      <c r="H55" s="20"/>
      <c r="I55" s="20"/>
    </row>
    <row r="56" spans="2:11" ht="14.25" customHeight="1" x14ac:dyDescent="0.2">
      <c r="B56" s="58"/>
    </row>
    <row r="57" spans="2:11" ht="145.5" customHeight="1" x14ac:dyDescent="0.2">
      <c r="B57" s="7"/>
      <c r="C57" s="7"/>
      <c r="D57" s="7"/>
      <c r="E57" s="7"/>
      <c r="F57" s="7"/>
      <c r="G57" s="164" t="s">
        <v>70</v>
      </c>
      <c r="H57" s="165"/>
      <c r="I57" s="165"/>
    </row>
    <row r="58" spans="2:11" ht="14.25" customHeight="1" x14ac:dyDescent="0.2">
      <c r="B58" s="222"/>
      <c r="C58" s="165"/>
      <c r="D58" s="165"/>
      <c r="E58" s="165"/>
      <c r="F58" s="165"/>
      <c r="G58" s="165"/>
      <c r="H58" s="165"/>
      <c r="I58" s="165"/>
      <c r="K58" s="12" t="s">
        <v>71</v>
      </c>
    </row>
    <row r="59" spans="2:11" ht="14.25" customHeight="1" x14ac:dyDescent="0.2">
      <c r="B59" s="59"/>
      <c r="C59" s="59"/>
      <c r="D59" s="59"/>
      <c r="E59" s="59"/>
      <c r="F59" s="59"/>
      <c r="G59" s="59"/>
      <c r="H59" s="59"/>
      <c r="I59" s="59"/>
      <c r="K59" s="12"/>
    </row>
    <row r="60" spans="2:11" ht="14.25" customHeight="1" x14ac:dyDescent="0.2"/>
    <row r="61" spans="2:11" ht="14.25" customHeight="1" x14ac:dyDescent="0.2"/>
    <row r="62" spans="2:11" ht="14.25" customHeight="1" x14ac:dyDescent="0.2"/>
    <row r="63" spans="2:11" ht="14.25" customHeight="1" x14ac:dyDescent="0.2"/>
    <row r="64" spans="2:11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spans="2:2" ht="14.25" customHeight="1" x14ac:dyDescent="0.2"/>
    <row r="82" spans="2:2" ht="14.25" customHeight="1" x14ac:dyDescent="0.2"/>
    <row r="83" spans="2:2" ht="14.25" customHeight="1" x14ac:dyDescent="0.2"/>
    <row r="84" spans="2:2" ht="14.25" customHeight="1" x14ac:dyDescent="0.2"/>
    <row r="85" spans="2:2" ht="14.25" customHeight="1" x14ac:dyDescent="0.2"/>
    <row r="86" spans="2:2" ht="14.25" customHeight="1" x14ac:dyDescent="0.2"/>
    <row r="87" spans="2:2" ht="14.25" customHeight="1" x14ac:dyDescent="0.2"/>
    <row r="88" spans="2:2" ht="14.25" customHeight="1" x14ac:dyDescent="0.2">
      <c r="B88" s="46" t="s">
        <v>69</v>
      </c>
    </row>
    <row r="89" spans="2:2" ht="14.25" customHeight="1" x14ac:dyDescent="0.2"/>
    <row r="90" spans="2:2" ht="14.25" customHeight="1" x14ac:dyDescent="0.2"/>
    <row r="91" spans="2:2" ht="14.25" customHeight="1" x14ac:dyDescent="0.2"/>
    <row r="92" spans="2:2" ht="14.25" customHeight="1" x14ac:dyDescent="0.2"/>
    <row r="93" spans="2:2" ht="14.25" customHeight="1" x14ac:dyDescent="0.2"/>
    <row r="94" spans="2:2" ht="14.25" customHeight="1" x14ac:dyDescent="0.2"/>
    <row r="95" spans="2:2" ht="14.25" customHeight="1" x14ac:dyDescent="0.2"/>
    <row r="96" spans="2:2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3">
    <mergeCell ref="G4:H4"/>
    <mergeCell ref="G5:H5"/>
    <mergeCell ref="G6:H6"/>
    <mergeCell ref="G7:H7"/>
    <mergeCell ref="A9:D9"/>
    <mergeCell ref="B17:F17"/>
    <mergeCell ref="B19:F19"/>
    <mergeCell ref="B21:F21"/>
    <mergeCell ref="A22:A24"/>
    <mergeCell ref="B22:F24"/>
    <mergeCell ref="G22:G24"/>
    <mergeCell ref="A25:A26"/>
    <mergeCell ref="B25:F26"/>
    <mergeCell ref="G25:G26"/>
    <mergeCell ref="B27:F28"/>
    <mergeCell ref="G27:G28"/>
    <mergeCell ref="B29:F29"/>
    <mergeCell ref="B31:F31"/>
    <mergeCell ref="B33:F33"/>
    <mergeCell ref="B34:F34"/>
    <mergeCell ref="B35:F35"/>
    <mergeCell ref="G43:H43"/>
    <mergeCell ref="B51:I52"/>
    <mergeCell ref="B54:I54"/>
    <mergeCell ref="G57:I57"/>
    <mergeCell ref="B58:I58"/>
    <mergeCell ref="G41:H41"/>
    <mergeCell ref="G42:H42"/>
    <mergeCell ref="B36:F36"/>
    <mergeCell ref="B38:F38"/>
    <mergeCell ref="B39:F39"/>
    <mergeCell ref="B40:F40"/>
    <mergeCell ref="B41:F41"/>
  </mergeCells>
  <hyperlinks>
    <hyperlink ref="K3" r:id="rId1" xr:uid="{00000000-0004-0000-1200-000000000000}"/>
  </hyperlinks>
  <printOptions horizontalCentered="1"/>
  <pageMargins left="0.5" right="0.5" top="0.5" bottom="0.5" header="0" footer="0"/>
  <pageSetup orientation="portrait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F1000"/>
  <sheetViews>
    <sheetView workbookViewId="0"/>
  </sheetViews>
  <sheetFormatPr defaultColWidth="12.625" defaultRowHeight="15" customHeight="1" x14ac:dyDescent="0.2"/>
  <cols>
    <col min="1" max="1" width="8.625" customWidth="1"/>
    <col min="2" max="2" width="3.875" customWidth="1"/>
    <col min="3" max="3" width="77.5" customWidth="1"/>
    <col min="4" max="4" width="8.625" customWidth="1"/>
    <col min="5" max="5" width="9.625" customWidth="1"/>
    <col min="6" max="6" width="34.875" customWidth="1"/>
    <col min="7" max="26" width="8.625" customWidth="1"/>
  </cols>
  <sheetData>
    <row r="1" spans="2:6" ht="14.25" customHeight="1" x14ac:dyDescent="0.2"/>
    <row r="2" spans="2:6" ht="14.25" customHeight="1" x14ac:dyDescent="0.2"/>
    <row r="3" spans="2:6" ht="14.25" customHeight="1" x14ac:dyDescent="0.2"/>
    <row r="4" spans="2:6" ht="14.25" customHeight="1" x14ac:dyDescent="0.25">
      <c r="B4" s="213" t="s">
        <v>298</v>
      </c>
      <c r="C4" s="165"/>
      <c r="D4" s="165"/>
      <c r="E4" s="165"/>
    </row>
    <row r="5" spans="2:6" ht="14.25" customHeight="1" x14ac:dyDescent="0.2"/>
    <row r="6" spans="2:6" ht="14.25" customHeight="1" x14ac:dyDescent="0.2"/>
    <row r="7" spans="2:6" ht="14.25" customHeight="1" x14ac:dyDescent="0.25">
      <c r="B7" s="102" t="s">
        <v>202</v>
      </c>
      <c r="C7" s="103" t="s">
        <v>203</v>
      </c>
      <c r="D7" s="103" t="s">
        <v>204</v>
      </c>
      <c r="E7" s="103" t="s">
        <v>205</v>
      </c>
      <c r="F7" s="104" t="s">
        <v>206</v>
      </c>
    </row>
    <row r="8" spans="2:6" ht="19.5" customHeight="1" x14ac:dyDescent="0.2">
      <c r="C8" s="150" t="s">
        <v>299</v>
      </c>
      <c r="D8" s="112">
        <v>4</v>
      </c>
      <c r="E8" s="112">
        <v>11562</v>
      </c>
      <c r="F8" s="114" t="s">
        <v>300</v>
      </c>
    </row>
    <row r="9" spans="2:6" ht="19.5" customHeight="1" x14ac:dyDescent="0.2">
      <c r="C9" s="151" t="s">
        <v>301</v>
      </c>
      <c r="D9" s="112">
        <v>1</v>
      </c>
      <c r="E9" s="112">
        <v>6100</v>
      </c>
      <c r="F9" s="114" t="s">
        <v>302</v>
      </c>
    </row>
    <row r="10" spans="2:6" ht="19.5" customHeight="1" x14ac:dyDescent="0.2">
      <c r="C10" s="150" t="s">
        <v>303</v>
      </c>
      <c r="D10" s="14">
        <v>1</v>
      </c>
      <c r="E10" s="14">
        <v>850</v>
      </c>
      <c r="F10" s="114" t="s">
        <v>304</v>
      </c>
    </row>
    <row r="11" spans="2:6" ht="19.5" customHeight="1" x14ac:dyDescent="0.2">
      <c r="C11" s="151" t="s">
        <v>262</v>
      </c>
      <c r="D11" s="112">
        <v>1</v>
      </c>
      <c r="E11" s="112">
        <v>900</v>
      </c>
      <c r="F11" s="114" t="s">
        <v>305</v>
      </c>
    </row>
    <row r="12" spans="2:6" ht="19.5" customHeight="1" x14ac:dyDescent="0.2">
      <c r="C12" s="150" t="s">
        <v>306</v>
      </c>
      <c r="D12" s="14">
        <v>1</v>
      </c>
      <c r="E12" s="14">
        <v>981.6</v>
      </c>
      <c r="F12" s="114" t="s">
        <v>307</v>
      </c>
    </row>
    <row r="13" spans="2:6" ht="19.5" customHeight="1" x14ac:dyDescent="0.2">
      <c r="C13" s="151" t="s">
        <v>261</v>
      </c>
      <c r="D13" s="112">
        <v>1</v>
      </c>
      <c r="E13" s="112">
        <v>580</v>
      </c>
      <c r="F13" s="114" t="s">
        <v>305</v>
      </c>
    </row>
    <row r="14" spans="2:6" ht="19.5" customHeight="1" x14ac:dyDescent="0.2">
      <c r="C14" s="151" t="s">
        <v>308</v>
      </c>
      <c r="D14" s="112">
        <v>1</v>
      </c>
      <c r="E14" s="14">
        <v>490</v>
      </c>
      <c r="F14" s="114" t="s">
        <v>304</v>
      </c>
    </row>
    <row r="15" spans="2:6" ht="19.5" customHeight="1" x14ac:dyDescent="0.2">
      <c r="C15" s="151" t="s">
        <v>309</v>
      </c>
      <c r="D15" s="112">
        <v>1</v>
      </c>
      <c r="E15" s="112">
        <v>730.9</v>
      </c>
      <c r="F15" s="114" t="s">
        <v>310</v>
      </c>
    </row>
    <row r="16" spans="2:6" ht="19.5" customHeight="1" x14ac:dyDescent="0.2">
      <c r="C16" s="152" t="s">
        <v>311</v>
      </c>
      <c r="D16" s="112">
        <v>1</v>
      </c>
      <c r="E16" s="112">
        <v>874.65</v>
      </c>
      <c r="F16" s="114" t="s">
        <v>312</v>
      </c>
    </row>
    <row r="17" spans="3:6" ht="19.5" customHeight="1" x14ac:dyDescent="0.2">
      <c r="C17" s="152" t="s">
        <v>313</v>
      </c>
      <c r="D17" s="112">
        <v>1</v>
      </c>
      <c r="E17" s="112">
        <v>347</v>
      </c>
      <c r="F17" s="114" t="s">
        <v>314</v>
      </c>
    </row>
    <row r="18" spans="3:6" ht="19.5" customHeight="1" x14ac:dyDescent="0.2">
      <c r="C18" s="152" t="s">
        <v>315</v>
      </c>
      <c r="D18" s="112">
        <v>1</v>
      </c>
      <c r="E18" s="112">
        <v>39</v>
      </c>
      <c r="F18" s="114" t="s">
        <v>316</v>
      </c>
    </row>
    <row r="19" spans="3:6" ht="19.5" customHeight="1" x14ac:dyDescent="0.2">
      <c r="C19" s="153" t="s">
        <v>284</v>
      </c>
      <c r="D19" s="14">
        <v>1</v>
      </c>
      <c r="E19" s="14">
        <v>235</v>
      </c>
      <c r="F19" s="114" t="s">
        <v>317</v>
      </c>
    </row>
    <row r="20" spans="3:6" ht="19.5" customHeight="1" x14ac:dyDescent="0.2">
      <c r="C20" s="152" t="s">
        <v>318</v>
      </c>
      <c r="D20" s="112">
        <v>1</v>
      </c>
      <c r="E20" s="112">
        <v>5</v>
      </c>
      <c r="F20" s="114" t="s">
        <v>319</v>
      </c>
    </row>
    <row r="21" spans="3:6" ht="19.5" customHeight="1" x14ac:dyDescent="0.2">
      <c r="C21" s="152" t="s">
        <v>266</v>
      </c>
      <c r="D21" s="112">
        <v>1</v>
      </c>
      <c r="E21" s="112">
        <v>306.89999999999998</v>
      </c>
      <c r="F21" s="114" t="s">
        <v>320</v>
      </c>
    </row>
    <row r="22" spans="3:6" ht="19.5" customHeight="1" x14ac:dyDescent="0.2">
      <c r="C22" s="153" t="s">
        <v>321</v>
      </c>
      <c r="D22" s="14">
        <v>8</v>
      </c>
      <c r="E22" s="14">
        <v>338</v>
      </c>
      <c r="F22" s="114" t="s">
        <v>302</v>
      </c>
    </row>
    <row r="23" spans="3:6" ht="19.5" customHeight="1" x14ac:dyDescent="0.2">
      <c r="C23" s="153" t="s">
        <v>283</v>
      </c>
      <c r="D23" s="14">
        <v>1</v>
      </c>
      <c r="E23" s="14">
        <v>227</v>
      </c>
      <c r="F23" s="114" t="s">
        <v>302</v>
      </c>
    </row>
    <row r="24" spans="3:6" ht="19.5" customHeight="1" x14ac:dyDescent="0.2">
      <c r="C24" s="153" t="s">
        <v>322</v>
      </c>
      <c r="D24" s="14">
        <v>1</v>
      </c>
      <c r="E24" s="14">
        <v>68.900000000000006</v>
      </c>
      <c r="F24" s="114" t="s">
        <v>323</v>
      </c>
    </row>
    <row r="25" spans="3:6" ht="19.5" customHeight="1" x14ac:dyDescent="0.2">
      <c r="C25" s="154" t="s">
        <v>25</v>
      </c>
      <c r="D25" s="112"/>
      <c r="E25" s="112"/>
    </row>
    <row r="26" spans="3:6" ht="19.5" customHeight="1" x14ac:dyDescent="0.2">
      <c r="C26" s="152" t="s">
        <v>324</v>
      </c>
      <c r="D26" s="112">
        <v>1</v>
      </c>
      <c r="E26" s="112">
        <v>253</v>
      </c>
      <c r="F26" s="114" t="s">
        <v>325</v>
      </c>
    </row>
    <row r="27" spans="3:6" ht="19.5" customHeight="1" x14ac:dyDescent="0.2">
      <c r="C27" s="154" t="s">
        <v>277</v>
      </c>
      <c r="D27" s="112"/>
      <c r="E27" s="112"/>
    </row>
    <row r="28" spans="3:6" ht="19.5" customHeight="1" x14ac:dyDescent="0.2">
      <c r="C28" s="152" t="s">
        <v>286</v>
      </c>
      <c r="D28" s="112">
        <v>3</v>
      </c>
      <c r="E28" s="112">
        <v>60.84</v>
      </c>
      <c r="F28" s="114" t="s">
        <v>326</v>
      </c>
    </row>
    <row r="29" spans="3:6" ht="19.5" customHeight="1" x14ac:dyDescent="0.2">
      <c r="C29" s="153" t="s">
        <v>327</v>
      </c>
      <c r="D29" s="14">
        <v>1</v>
      </c>
      <c r="E29" s="14">
        <v>19</v>
      </c>
      <c r="F29" s="114" t="s">
        <v>328</v>
      </c>
    </row>
    <row r="30" spans="3:6" ht="19.5" customHeight="1" x14ac:dyDescent="0.2">
      <c r="C30" s="152" t="s">
        <v>329</v>
      </c>
      <c r="D30" s="112">
        <v>1</v>
      </c>
      <c r="E30" s="112">
        <v>90</v>
      </c>
      <c r="F30" s="114" t="s">
        <v>330</v>
      </c>
    </row>
    <row r="31" spans="3:6" ht="19.5" customHeight="1" x14ac:dyDescent="0.2">
      <c r="C31" s="152" t="s">
        <v>268</v>
      </c>
      <c r="D31" s="112">
        <v>1</v>
      </c>
      <c r="E31" s="112">
        <v>51.7</v>
      </c>
      <c r="F31" s="114" t="s">
        <v>331</v>
      </c>
    </row>
    <row r="32" spans="3:6" ht="19.5" customHeight="1" x14ac:dyDescent="0.2">
      <c r="C32" s="152" t="s">
        <v>332</v>
      </c>
      <c r="D32" s="112">
        <v>2</v>
      </c>
      <c r="E32" s="112">
        <v>54.9</v>
      </c>
      <c r="F32" s="114" t="s">
        <v>333</v>
      </c>
    </row>
    <row r="33" spans="3:6" ht="19.5" customHeight="1" x14ac:dyDescent="0.2">
      <c r="C33" s="152" t="s">
        <v>334</v>
      </c>
      <c r="D33" s="112">
        <v>1</v>
      </c>
      <c r="E33" s="112">
        <v>83.79</v>
      </c>
      <c r="F33" s="114" t="s">
        <v>335</v>
      </c>
    </row>
    <row r="34" spans="3:6" ht="19.5" customHeight="1" x14ac:dyDescent="0.2">
      <c r="C34" s="152" t="s">
        <v>336</v>
      </c>
      <c r="D34" s="112">
        <v>1</v>
      </c>
      <c r="E34" s="112">
        <v>39.700000000000003</v>
      </c>
      <c r="F34" s="114" t="s">
        <v>337</v>
      </c>
    </row>
    <row r="35" spans="3:6" ht="19.5" customHeight="1" x14ac:dyDescent="0.2">
      <c r="C35" s="150" t="s">
        <v>338</v>
      </c>
      <c r="D35" s="14">
        <v>1</v>
      </c>
      <c r="E35" s="14">
        <v>34.64</v>
      </c>
      <c r="F35" s="114" t="s">
        <v>339</v>
      </c>
    </row>
    <row r="36" spans="3:6" ht="19.5" customHeight="1" x14ac:dyDescent="0.2">
      <c r="C36" s="151" t="s">
        <v>340</v>
      </c>
      <c r="D36" s="112">
        <v>1</v>
      </c>
      <c r="E36" s="112">
        <v>190.9</v>
      </c>
      <c r="F36" s="114" t="s">
        <v>341</v>
      </c>
    </row>
    <row r="37" spans="3:6" ht="14.25" customHeight="1" x14ac:dyDescent="0.2">
      <c r="C37" s="151" t="s">
        <v>342</v>
      </c>
      <c r="D37" s="112">
        <v>1</v>
      </c>
      <c r="E37" s="112">
        <v>292.39999999999998</v>
      </c>
      <c r="F37" s="114" t="s">
        <v>343</v>
      </c>
    </row>
    <row r="38" spans="3:6" ht="14.25" customHeight="1" x14ac:dyDescent="0.2">
      <c r="C38" s="151" t="s">
        <v>344</v>
      </c>
      <c r="D38" s="112">
        <v>1</v>
      </c>
      <c r="E38" s="112">
        <v>67</v>
      </c>
      <c r="F38" s="114" t="s">
        <v>345</v>
      </c>
    </row>
    <row r="39" spans="3:6" ht="14.25" customHeight="1" x14ac:dyDescent="0.2">
      <c r="C39" s="151" t="s">
        <v>346</v>
      </c>
      <c r="D39" s="112">
        <v>1</v>
      </c>
      <c r="E39" s="112">
        <v>31.94</v>
      </c>
      <c r="F39" s="114" t="s">
        <v>347</v>
      </c>
    </row>
    <row r="40" spans="3:6" ht="14.25" customHeight="1" x14ac:dyDescent="0.2">
      <c r="C40" s="151" t="s">
        <v>348</v>
      </c>
      <c r="D40" s="112">
        <v>1</v>
      </c>
      <c r="E40" s="112">
        <v>19.2</v>
      </c>
      <c r="F40" s="114" t="s">
        <v>349</v>
      </c>
    </row>
    <row r="41" spans="3:6" ht="14.25" customHeight="1" x14ac:dyDescent="0.2">
      <c r="C41" s="151" t="s">
        <v>350</v>
      </c>
      <c r="D41" s="112">
        <v>1</v>
      </c>
      <c r="E41" s="112">
        <v>55</v>
      </c>
      <c r="F41" s="114" t="s">
        <v>351</v>
      </c>
    </row>
    <row r="42" spans="3:6" ht="14.25" customHeight="1" x14ac:dyDescent="0.2">
      <c r="C42" s="151" t="s">
        <v>352</v>
      </c>
      <c r="D42" s="112">
        <v>1</v>
      </c>
      <c r="E42" s="112">
        <v>112</v>
      </c>
      <c r="F42" s="114" t="s">
        <v>353</v>
      </c>
    </row>
    <row r="43" spans="3:6" ht="14.25" customHeight="1" x14ac:dyDescent="0.2">
      <c r="C43" s="151" t="s">
        <v>354</v>
      </c>
      <c r="D43" s="112">
        <v>1</v>
      </c>
      <c r="E43" s="112">
        <v>180</v>
      </c>
      <c r="F43" s="114" t="s">
        <v>355</v>
      </c>
    </row>
    <row r="44" spans="3:6" ht="14.25" customHeight="1" x14ac:dyDescent="0.2">
      <c r="C44" s="151" t="s">
        <v>356</v>
      </c>
      <c r="D44" s="112">
        <v>1</v>
      </c>
      <c r="E44" s="112">
        <v>370</v>
      </c>
      <c r="F44" s="114" t="s">
        <v>357</v>
      </c>
    </row>
    <row r="45" spans="3:6" ht="14.25" customHeight="1" x14ac:dyDescent="0.2">
      <c r="C45" s="155" t="s">
        <v>358</v>
      </c>
      <c r="D45" s="112">
        <v>1</v>
      </c>
      <c r="E45" s="112">
        <v>51.8</v>
      </c>
      <c r="F45" s="114" t="s">
        <v>359</v>
      </c>
    </row>
    <row r="46" spans="3:6" ht="14.25" customHeight="1" x14ac:dyDescent="0.2">
      <c r="C46" s="155" t="s">
        <v>360</v>
      </c>
      <c r="D46" s="112">
        <v>1</v>
      </c>
      <c r="E46" s="112">
        <v>5</v>
      </c>
      <c r="F46" s="114" t="s">
        <v>361</v>
      </c>
    </row>
    <row r="47" spans="3:6" ht="14.25" customHeight="1" x14ac:dyDescent="0.2">
      <c r="C47" s="155" t="s">
        <v>362</v>
      </c>
      <c r="D47" s="112">
        <v>1</v>
      </c>
      <c r="E47" s="112">
        <v>35.5</v>
      </c>
      <c r="F47" s="114" t="s">
        <v>363</v>
      </c>
    </row>
    <row r="48" spans="3:6" ht="14.25" customHeight="1" x14ac:dyDescent="0.2">
      <c r="C48" s="155" t="s">
        <v>364</v>
      </c>
      <c r="D48" s="112">
        <v>1</v>
      </c>
      <c r="E48" s="112">
        <v>105</v>
      </c>
      <c r="F48" s="114" t="s">
        <v>365</v>
      </c>
    </row>
    <row r="49" spans="3:6" ht="14.25" customHeight="1" x14ac:dyDescent="0.2">
      <c r="C49" s="155" t="s">
        <v>366</v>
      </c>
      <c r="D49" s="112">
        <v>1</v>
      </c>
      <c r="E49" s="112">
        <v>59</v>
      </c>
      <c r="F49" s="114" t="s">
        <v>367</v>
      </c>
    </row>
    <row r="50" spans="3:6" ht="14.25" customHeight="1" x14ac:dyDescent="0.2">
      <c r="C50" s="151" t="s">
        <v>368</v>
      </c>
      <c r="D50" s="112">
        <v>1</v>
      </c>
      <c r="E50" s="112">
        <v>4695</v>
      </c>
      <c r="F50" s="114" t="s">
        <v>369</v>
      </c>
    </row>
    <row r="51" spans="3:6" ht="14.25" customHeight="1" x14ac:dyDescent="0.2">
      <c r="C51" s="151" t="s">
        <v>370</v>
      </c>
      <c r="D51" s="112">
        <v>1</v>
      </c>
      <c r="E51" s="112">
        <v>300</v>
      </c>
      <c r="F51" s="114" t="s">
        <v>371</v>
      </c>
    </row>
    <row r="52" spans="3:6" ht="14.25" customHeight="1" x14ac:dyDescent="0.2">
      <c r="C52" s="151" t="s">
        <v>372</v>
      </c>
      <c r="D52" s="112">
        <v>1</v>
      </c>
      <c r="E52" s="112">
        <v>2449</v>
      </c>
    </row>
    <row r="53" spans="3:6" ht="14.25" customHeight="1" x14ac:dyDescent="0.2">
      <c r="C53" s="38" t="s">
        <v>373</v>
      </c>
      <c r="D53" s="112">
        <v>1</v>
      </c>
      <c r="E53" s="112">
        <v>188.38</v>
      </c>
    </row>
    <row r="54" spans="3:6" ht="14.25" customHeight="1" x14ac:dyDescent="0.2">
      <c r="C54" s="155" t="s">
        <v>374</v>
      </c>
      <c r="D54" s="112">
        <v>1</v>
      </c>
      <c r="E54" s="112">
        <v>1000</v>
      </c>
    </row>
    <row r="55" spans="3:6" ht="14.25" customHeight="1" x14ac:dyDescent="0.2">
      <c r="C55" s="155" t="s">
        <v>375</v>
      </c>
      <c r="D55" s="112">
        <v>1</v>
      </c>
      <c r="E55" s="112">
        <v>1200</v>
      </c>
    </row>
    <row r="56" spans="3:6" ht="14.25" customHeight="1" x14ac:dyDescent="0.2">
      <c r="C56" s="155" t="s">
        <v>376</v>
      </c>
      <c r="D56" s="112">
        <v>1</v>
      </c>
      <c r="E56" s="112">
        <v>300</v>
      </c>
    </row>
    <row r="57" spans="3:6" ht="14.25" customHeight="1" x14ac:dyDescent="0.2">
      <c r="D57" s="112"/>
      <c r="E57" s="112"/>
    </row>
    <row r="58" spans="3:6" ht="14.25" customHeight="1" x14ac:dyDescent="0.2">
      <c r="E58" s="46">
        <f>SUM(E8:E56)</f>
        <v>37030.640000000007</v>
      </c>
    </row>
    <row r="59" spans="3:6" ht="14.25" customHeight="1" x14ac:dyDescent="0.2"/>
    <row r="60" spans="3:6" ht="14.25" customHeight="1" x14ac:dyDescent="0.2"/>
    <row r="61" spans="3:6" ht="14.25" customHeight="1" x14ac:dyDescent="0.2"/>
    <row r="62" spans="3:6" ht="14.25" customHeight="1" x14ac:dyDescent="0.2"/>
    <row r="63" spans="3:6" ht="14.25" customHeight="1" x14ac:dyDescent="0.2"/>
    <row r="64" spans="3:6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4:E4"/>
  </mergeCells>
  <hyperlinks>
    <hyperlink ref="F8" r:id="rId1" xr:uid="{00000000-0004-0000-1300-000000000000}"/>
    <hyperlink ref="F9" r:id="rId2" xr:uid="{00000000-0004-0000-1300-000001000000}"/>
    <hyperlink ref="F10" r:id="rId3" xr:uid="{00000000-0004-0000-1300-000002000000}"/>
    <hyperlink ref="F11" r:id="rId4" xr:uid="{00000000-0004-0000-1300-000003000000}"/>
    <hyperlink ref="F12" r:id="rId5" xr:uid="{00000000-0004-0000-1300-000004000000}"/>
    <hyperlink ref="F13" r:id="rId6" xr:uid="{00000000-0004-0000-1300-000005000000}"/>
    <hyperlink ref="F14" r:id="rId7" xr:uid="{00000000-0004-0000-1300-000006000000}"/>
    <hyperlink ref="F15" r:id="rId8" xr:uid="{00000000-0004-0000-1300-000007000000}"/>
    <hyperlink ref="F16" r:id="rId9" xr:uid="{00000000-0004-0000-1300-000008000000}"/>
    <hyperlink ref="F17" r:id="rId10" xr:uid="{00000000-0004-0000-1300-000009000000}"/>
    <hyperlink ref="F18" r:id="rId11" xr:uid="{00000000-0004-0000-1300-00000A000000}"/>
    <hyperlink ref="F19" r:id="rId12" xr:uid="{00000000-0004-0000-1300-00000B000000}"/>
    <hyperlink ref="F20" r:id="rId13" xr:uid="{00000000-0004-0000-1300-00000C000000}"/>
    <hyperlink ref="F21" r:id="rId14" xr:uid="{00000000-0004-0000-1300-00000D000000}"/>
    <hyperlink ref="F22" r:id="rId15" xr:uid="{00000000-0004-0000-1300-00000E000000}"/>
    <hyperlink ref="F23" r:id="rId16" xr:uid="{00000000-0004-0000-1300-00000F000000}"/>
    <hyperlink ref="F24" r:id="rId17" xr:uid="{00000000-0004-0000-1300-000010000000}"/>
    <hyperlink ref="F26" r:id="rId18" xr:uid="{00000000-0004-0000-1300-000011000000}"/>
    <hyperlink ref="F28" r:id="rId19" xr:uid="{00000000-0004-0000-1300-000012000000}"/>
    <hyperlink ref="F29" r:id="rId20" xr:uid="{00000000-0004-0000-1300-000013000000}"/>
    <hyperlink ref="F30" r:id="rId21" xr:uid="{00000000-0004-0000-1300-000014000000}"/>
    <hyperlink ref="F31" r:id="rId22" xr:uid="{00000000-0004-0000-1300-000015000000}"/>
    <hyperlink ref="F32" r:id="rId23" xr:uid="{00000000-0004-0000-1300-000016000000}"/>
    <hyperlink ref="F33" r:id="rId24" xr:uid="{00000000-0004-0000-1300-000017000000}"/>
    <hyperlink ref="F34" r:id="rId25" xr:uid="{00000000-0004-0000-1300-000018000000}"/>
    <hyperlink ref="F35" r:id="rId26" xr:uid="{00000000-0004-0000-1300-000019000000}"/>
    <hyperlink ref="F36" r:id="rId27" xr:uid="{00000000-0004-0000-1300-00001A000000}"/>
    <hyperlink ref="F37" r:id="rId28" xr:uid="{00000000-0004-0000-1300-00001B000000}"/>
    <hyperlink ref="F38" r:id="rId29" xr:uid="{00000000-0004-0000-1300-00001C000000}"/>
    <hyperlink ref="F39" r:id="rId30" xr:uid="{00000000-0004-0000-1300-00001D000000}"/>
    <hyperlink ref="F40" r:id="rId31" xr:uid="{00000000-0004-0000-1300-00001E000000}"/>
    <hyperlink ref="F41" r:id="rId32" xr:uid="{00000000-0004-0000-1300-00001F000000}"/>
    <hyperlink ref="F42" r:id="rId33" xr:uid="{00000000-0004-0000-1300-000020000000}"/>
    <hyperlink ref="F43" r:id="rId34" xr:uid="{00000000-0004-0000-1300-000021000000}"/>
    <hyperlink ref="F44" r:id="rId35" xr:uid="{00000000-0004-0000-1300-000022000000}"/>
    <hyperlink ref="F45" r:id="rId36" xr:uid="{00000000-0004-0000-1300-000023000000}"/>
    <hyperlink ref="F46" r:id="rId37" xr:uid="{00000000-0004-0000-1300-000024000000}"/>
    <hyperlink ref="F47" r:id="rId38" xr:uid="{00000000-0004-0000-1300-000025000000}"/>
    <hyperlink ref="F48" r:id="rId39" xr:uid="{00000000-0004-0000-1300-000026000000}"/>
    <hyperlink ref="F49" r:id="rId40" xr:uid="{00000000-0004-0000-1300-000027000000}"/>
    <hyperlink ref="F50" r:id="rId41" xr:uid="{00000000-0004-0000-1300-000028000000}"/>
    <hyperlink ref="F51" r:id="rId42" xr:uid="{00000000-0004-0000-1300-000029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MAIN QUOTE</vt:lpstr>
      <vt:lpstr>2</vt:lpstr>
      <vt:lpstr>3</vt:lpstr>
      <vt:lpstr>3842</vt:lpstr>
      <vt:lpstr>MAIN QUOTE (3)</vt:lpstr>
      <vt:lpstr>4316</vt:lpstr>
      <vt:lpstr>VD2</vt:lpstr>
      <vt:lpstr>Copy of 3871</vt:lpstr>
      <vt:lpstr>INV-2625</vt:lpstr>
      <vt:lpstr>INV-2628</vt:lpstr>
      <vt:lpstr>INV-2639</vt:lpstr>
      <vt:lpstr>INV-2641</vt:lpstr>
      <vt:lpstr>INV-2642</vt:lpstr>
      <vt:lpstr>Barang</vt:lpstr>
      <vt:lpstr>Sheet1</vt:lpstr>
      <vt:lpstr>MAIN QUOTE (2)</vt:lpstr>
      <vt:lpstr>QUOTE 1</vt:lpstr>
      <vt:lpstr>QUOTE 2</vt:lpstr>
      <vt:lpstr>QUOTE 3</vt:lpstr>
      <vt:lpstr>Modal</vt:lpstr>
      <vt:lpstr>'4316'!Print_Area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Vertex42.com</dc:creator>
  <cp:lastModifiedBy>z1843</cp:lastModifiedBy>
  <cp:lastPrinted>2026-04-02T01:23:41Z</cp:lastPrinted>
  <dcterms:created xsi:type="dcterms:W3CDTF">2004-08-16T18:44:14Z</dcterms:created>
  <dcterms:modified xsi:type="dcterms:W3CDTF">2026-04-02T01:25:27Z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https://www.vertex42.com/ExcelTemplates/quote-template.html</vt:lpwstr>
  </property>
</Properties>
</file>