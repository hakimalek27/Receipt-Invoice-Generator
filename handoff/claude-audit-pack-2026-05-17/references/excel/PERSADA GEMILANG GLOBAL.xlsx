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jid Alam Damai\Downloads\"/>
    </mc:Choice>
  </mc:AlternateContent>
  <xr:revisionPtr revIDLastSave="0" documentId="13_ncr:1_{D907A068-387F-472B-9375-74BFC8EF5AEC}" xr6:coauthVersionLast="47" xr6:coauthVersionMax="47" xr10:uidLastSave="{00000000-0000-0000-0000-000000000000}"/>
  <bookViews>
    <workbookView xWindow="-108" yWindow="-108" windowWidth="23256" windowHeight="13896" tabRatio="837" xr2:uid="{00000000-000D-0000-FFFF-FFFF00000000}"/>
  </bookViews>
  <sheets>
    <sheet name="Quotation" sheetId="1" r:id="rId1"/>
    <sheet name="Quotation_Service" sheetId="11" r:id="rId2"/>
    <sheet name="INV 1" sheetId="12" r:id="rId3"/>
    <sheet name="INV 2" sheetId="13" r:id="rId4"/>
    <sheet name="Invoice" sheetId="2" r:id="rId5"/>
    <sheet name="Invoice_Service" sheetId="10" r:id="rId6"/>
    <sheet name="DO" sheetId="3" r:id="rId7"/>
    <sheet name="Cash Bill" sheetId="4" r:id="rId8"/>
    <sheet name="Purchase Order" sheetId="5" r:id="rId9"/>
    <sheet name="Credit Note" sheetId="6" r:id="rId10"/>
    <sheet name="Debit Note" sheetId="7" r:id="rId11"/>
    <sheet name="Receipt" sheetId="8" r:id="rId12"/>
    <sheet name="Payment Voucher" sheetId="9" r:id="rId13"/>
  </sheets>
  <externalReferences>
    <externalReference r:id="rId14"/>
  </externalReferences>
  <definedNames>
    <definedName name="btnAll">"btnCustProfile,btnCustOR,btnCustDN,btnCustCN,btnSuppProfile,btnSuppPV,btnInv,btnQuote,btnCS,btnSO,btnDO,btnSuppPO,btnStock,btnIMS"</definedName>
    <definedName name="Cust_ddown" localSheetId="4">[1]!Cust_list[Company]</definedName>
    <definedName name="Cust_ddown" localSheetId="5">[1]!Cust_list[Company]</definedName>
    <definedName name="Cust_ddown" localSheetId="12">[1]!Cust_list[Company]</definedName>
    <definedName name="Cust_ddown" localSheetId="1">[1]!Cust_list[Company]</definedName>
    <definedName name="Cust_ddown">[1]!Cust_list[Company]</definedName>
    <definedName name="_xlnm.Print_Area" localSheetId="7">'Cash Bill'!$G$2:$T$60</definedName>
    <definedName name="_xlnm.Print_Area" localSheetId="9">'Credit Note'!$G$2:$T$35</definedName>
    <definedName name="_xlnm.Print_Area" localSheetId="10">'Debit Note'!$G$2:$T$35</definedName>
    <definedName name="_xlnm.Print_Area" localSheetId="6">DO!$G$2:$T$60</definedName>
    <definedName name="_xlnm.Print_Area" localSheetId="2">'INV 1'!$G$2:$S$41</definedName>
    <definedName name="_xlnm.Print_Area" localSheetId="3">'INV 2'!$G$2:$S$58</definedName>
    <definedName name="_xlnm.Print_Area" localSheetId="4">Invoice!$G$2:$T$60</definedName>
    <definedName name="_xlnm.Print_Area" localSheetId="5">Invoice_Service!$G$2:$O$55</definedName>
    <definedName name="_xlnm.Print_Area" localSheetId="12">'Payment Voucher'!$G$2:$T$34</definedName>
    <definedName name="_xlnm.Print_Area" localSheetId="8">'Purchase Order'!$G$2:$T$60</definedName>
    <definedName name="_xlnm.Print_Area" localSheetId="0">Quotation!$G$2:$S$34</definedName>
    <definedName name="_xlnm.Print_Area" localSheetId="1">Quotation_Service!$G$2:$O$55</definedName>
    <definedName name="_xlnm.Print_Area" localSheetId="11">Receipt!$G$2:$T$34</definedName>
    <definedName name="Supp_ddown" localSheetId="12">[1]!Supp_list[Company]</definedName>
    <definedName name="Supp_ddown">[1]!Supp_list[Company]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12" l="1"/>
  <c r="S26" i="12"/>
  <c r="S25" i="12"/>
  <c r="S23" i="12" l="1"/>
  <c r="S22" i="12"/>
  <c r="S21" i="12"/>
  <c r="S20" i="12"/>
  <c r="R27" i="9"/>
  <c r="F23" i="9"/>
  <c r="F19" i="9"/>
  <c r="F10" i="9"/>
  <c r="R27" i="8"/>
  <c r="F23" i="8"/>
  <c r="F19" i="8"/>
  <c r="F10" i="8"/>
  <c r="R28" i="7"/>
  <c r="F24" i="7"/>
  <c r="F20" i="7"/>
  <c r="F10" i="7"/>
  <c r="R28" i="6"/>
  <c r="F24" i="6"/>
  <c r="F20" i="6"/>
  <c r="F10" i="6"/>
  <c r="S49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F24" i="5"/>
  <c r="S23" i="5"/>
  <c r="F23" i="5"/>
  <c r="F10" i="5"/>
  <c r="S49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F24" i="4"/>
  <c r="S23" i="4"/>
  <c r="F23" i="4"/>
  <c r="F10" i="4"/>
  <c r="O49" i="3"/>
  <c r="F24" i="3"/>
  <c r="F23" i="3"/>
  <c r="F10" i="3"/>
  <c r="N44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S49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F24" i="2"/>
  <c r="S23" i="2"/>
  <c r="F23" i="2"/>
  <c r="F10" i="2"/>
  <c r="S44" i="13"/>
  <c r="S25" i="13"/>
  <c r="S24" i="13"/>
  <c r="F10" i="13"/>
  <c r="S24" i="12"/>
  <c r="F24" i="12"/>
  <c r="F20" i="12"/>
  <c r="F10" i="12"/>
  <c r="N44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S23" i="1"/>
  <c r="S21" i="1"/>
  <c r="S20" i="1"/>
  <c r="S19" i="1"/>
  <c r="S18" i="1"/>
  <c r="F18" i="1"/>
  <c r="S17" i="1"/>
  <c r="F17" i="1"/>
  <c r="F8" i="1"/>
  <c r="S29" i="12" l="1"/>
</calcChain>
</file>

<file path=xl/sharedStrings.xml><?xml version="1.0" encoding="utf-8"?>
<sst xmlns="http://schemas.openxmlformats.org/spreadsheetml/2006/main" count="502" uniqueCount="155">
  <si>
    <t>Quotation</t>
  </si>
  <si>
    <r>
      <rPr>
        <b/>
        <sz val="28"/>
        <color theme="5"/>
        <rFont val="Century Gothic"/>
        <charset val="134"/>
      </rPr>
      <t>VIRTUE DAMSEL</t>
    </r>
    <r>
      <rPr>
        <b/>
        <sz val="28"/>
        <color theme="3" tint="0.39991454817346722"/>
        <rFont val="Century Gothic"/>
        <charset val="134"/>
      </rPr>
      <t xml:space="preserve"> </t>
    </r>
    <r>
      <rPr>
        <b/>
        <sz val="28"/>
        <color rgb="FF33CCCC"/>
        <rFont val="Century Gothic"/>
        <charset val="134"/>
      </rPr>
      <t>SOLUTION</t>
    </r>
  </si>
  <si>
    <t>(002976929-K)</t>
  </si>
  <si>
    <r>
      <rPr>
        <sz val="11"/>
        <color rgb="FF000000"/>
        <rFont val="Arial"/>
        <charset val="134"/>
      </rPr>
      <t>No 30, RD 3, Taman Ramal Desa, 43000 Kajang Selangor</t>
    </r>
    <r>
      <rPr>
        <sz val="11"/>
        <color rgb="FF000000"/>
        <rFont val="Arial"/>
        <charset val="134"/>
      </rPr>
      <t xml:space="preserve">  </t>
    </r>
    <r>
      <rPr>
        <sz val="11"/>
        <color rgb="FF000000"/>
        <rFont val="Arial"/>
        <charset val="134"/>
      </rPr>
      <t>Tel : 03 89125200</t>
    </r>
  </si>
  <si>
    <t>OFFICIAL RECEIPT</t>
  </si>
  <si>
    <t>Cust Row</t>
  </si>
  <si>
    <t xml:space="preserve">To: </t>
  </si>
  <si>
    <t>No.:</t>
  </si>
  <si>
    <t>OF 0100175</t>
  </si>
  <si>
    <t>Masjid Al-Mukhlisin  (Dewan)</t>
  </si>
  <si>
    <t>Date:</t>
  </si>
  <si>
    <t>Alam Damai, Cheras, 56000, Kuala Lumpur.</t>
  </si>
  <si>
    <t>Payment Term:</t>
  </si>
  <si>
    <t>C.O.D.</t>
  </si>
  <si>
    <t xml:space="preserve">Attn: </t>
  </si>
  <si>
    <t>AZAN</t>
  </si>
  <si>
    <t>Currency:</t>
  </si>
  <si>
    <t>RM</t>
  </si>
  <si>
    <t>Tel:</t>
  </si>
  <si>
    <t>017-238 5416</t>
  </si>
  <si>
    <t>Fax:</t>
  </si>
  <si>
    <t>Item</t>
  </si>
  <si>
    <t>Description</t>
  </si>
  <si>
    <t>Qty</t>
  </si>
  <si>
    <t>Unit</t>
  </si>
  <si>
    <t>Unit Price</t>
  </si>
  <si>
    <t>Discount</t>
  </si>
  <si>
    <t>Total Price</t>
  </si>
  <si>
    <t>WIFI 6 ROUTER ZYXEL EX3220 COMPLETE SET</t>
  </si>
  <si>
    <t>pcs</t>
  </si>
  <si>
    <t>RJ45 CAT 6 CABLE ETHERNET NETWORK LAN CABLE</t>
  </si>
  <si>
    <t>SPLICING &amp; CONNECTOR JOIN</t>
  </si>
  <si>
    <t>WIRING FOR ROUTER SOCKET PLUG POINT</t>
  </si>
  <si>
    <t>PIPING, NETWORK SETTING &amp; INSTALLATION SERVICE</t>
  </si>
  <si>
    <t>RM:</t>
  </si>
  <si>
    <t>ONE THOUSAND FOUR HUNDRED ONLY</t>
  </si>
  <si>
    <t xml:space="preserve">Grand Total   </t>
  </si>
  <si>
    <r>
      <rPr>
        <sz val="14"/>
        <color theme="1"/>
        <rFont val="Lao UI"/>
        <charset val="134"/>
      </rPr>
      <t xml:space="preserve">          Bank Details : </t>
    </r>
    <r>
      <rPr>
        <b/>
        <sz val="14"/>
        <color theme="1"/>
        <rFont val="Lao UI"/>
        <charset val="134"/>
      </rPr>
      <t>Maybank 5620 2164 4859</t>
    </r>
  </si>
  <si>
    <t>Yours faithfully,</t>
  </si>
  <si>
    <t>We confirm the order by accepting the terms</t>
  </si>
  <si>
    <t>Apis</t>
  </si>
  <si>
    <t>------------------------------------------------------</t>
  </si>
  <si>
    <t>----------------------------------------------------------</t>
  </si>
  <si>
    <t>Authorised Signature</t>
  </si>
  <si>
    <t>Signature &amp; Company stamp</t>
  </si>
  <si>
    <t>Date :</t>
  </si>
  <si>
    <t>Invoice</t>
  </si>
  <si>
    <t>A To Z Account</t>
  </si>
  <si>
    <t>Put your LOGO here</t>
  </si>
  <si>
    <t>Co. Reg. No.: 11221122-I</t>
  </si>
  <si>
    <t>Unit 1-1, One Avenue,</t>
  </si>
  <si>
    <t>Taman Pertama, 53000 Ampang, Selangor.</t>
  </si>
  <si>
    <t>Phone: 03-11112222</t>
  </si>
  <si>
    <t>Email: adm.atoz22@gmail.com</t>
  </si>
  <si>
    <t>www.atozaccount.com</t>
  </si>
  <si>
    <t>Customer Details:</t>
  </si>
  <si>
    <t>QUOTATION</t>
  </si>
  <si>
    <t>Company</t>
  </si>
  <si>
    <t>Address</t>
  </si>
  <si>
    <t>Contact Person</t>
  </si>
  <si>
    <t>Contact No.</t>
  </si>
  <si>
    <t>Thank you for your inquiry. We are pleased to submit our quote as follow:</t>
  </si>
  <si>
    <t>No.</t>
  </si>
  <si>
    <t>Amount</t>
  </si>
  <si>
    <t>Sub Total</t>
  </si>
  <si>
    <t>Service Tax</t>
  </si>
  <si>
    <t>Grand Total</t>
  </si>
  <si>
    <t xml:space="preserve">We hope that our quotation is favourable to you and we looking forward to receive your valued orders. </t>
  </si>
  <si>
    <t>If you require further clarification, please do not hesitate to contact us.</t>
  </si>
  <si>
    <t>---------------------------------------------</t>
  </si>
  <si>
    <r>
      <rPr>
        <b/>
        <sz val="20"/>
        <rFont val="Lao UI"/>
        <charset val="134"/>
      </rPr>
      <t xml:space="preserve">WEHDAH SOLUTION </t>
    </r>
    <r>
      <rPr>
        <b/>
        <sz val="10"/>
        <rFont val="Lao UI"/>
        <charset val="134"/>
      </rPr>
      <t>202103190949 (PG0514579-H)</t>
    </r>
  </si>
  <si>
    <t xml:space="preserve">Wisma UOA II, Unite No: 15-13A, </t>
  </si>
  <si>
    <t>UOA Business Centre, Jalan Pinang,</t>
  </si>
  <si>
    <t>50450 Kuala Lumpur, Malaysia.</t>
  </si>
  <si>
    <t>Phone: +6017-3123415    Email : wehdahsolution@gmail.com</t>
  </si>
  <si>
    <t>INVOICE</t>
  </si>
  <si>
    <t xml:space="preserve">Bill To: </t>
  </si>
  <si>
    <t>Email:</t>
  </si>
  <si>
    <t>-</t>
  </si>
  <si>
    <r>
      <rPr>
        <sz val="14"/>
        <color theme="1"/>
        <rFont val="Lao UI"/>
        <charset val="134"/>
      </rPr>
      <t xml:space="preserve">          Bank Details : </t>
    </r>
    <r>
      <rPr>
        <b/>
        <sz val="14"/>
        <color theme="1"/>
        <rFont val="Lao UI"/>
        <charset val="134"/>
      </rPr>
      <t>Hong Leong Islamic 18701038380</t>
    </r>
    <r>
      <rPr>
        <sz val="14"/>
        <color theme="1"/>
        <rFont val="Lao UI"/>
        <charset val="134"/>
      </rPr>
      <t xml:space="preserve">   -    </t>
    </r>
    <r>
      <rPr>
        <b/>
        <sz val="14"/>
        <color theme="1"/>
        <rFont val="Lao UI"/>
        <charset val="134"/>
      </rPr>
      <t>Bank Islam  12113010769313</t>
    </r>
  </si>
  <si>
    <t>Good sold are not returnable and payment make is not refundable.</t>
  </si>
  <si>
    <t xml:space="preserve">All cheque should be crossed and made payable to " WEHDAH SOLUTION " </t>
  </si>
  <si>
    <t>Goods received in right and good condition</t>
  </si>
  <si>
    <t>Company Sign &amp; Chop</t>
  </si>
  <si>
    <t>I-231013</t>
  </si>
  <si>
    <t>Muhammad Hakim</t>
  </si>
  <si>
    <t>Masjid Al-Muttaqin Wangsa Melawati, Jalan Wangsa Melawati 6, 53300 K.L.</t>
  </si>
  <si>
    <t>018-9030363</t>
  </si>
  <si>
    <t>Acrylic Bevel Edge Frame 5mm + Reverse Sticker ( Back ) + 29 pcs Picture Slot + 29 pcs Acrylic Name ( Back Print ) + Bolt Nut ( 4ft x 8ft ) Artwork 1</t>
  </si>
  <si>
    <t xml:space="preserve">Design </t>
  </si>
  <si>
    <t>unit</t>
  </si>
  <si>
    <t>ONE THOUSAND FIVE HUNDRED FIFTY</t>
  </si>
  <si>
    <t>Co. Reg. No.:</t>
  </si>
  <si>
    <t>11221122-I</t>
  </si>
  <si>
    <t>Phone:</t>
  </si>
  <si>
    <t>03-11112222</t>
  </si>
  <si>
    <t>03-22221111</t>
  </si>
  <si>
    <t>adm.atoz22@gmail.com</t>
  </si>
  <si>
    <t>To:</t>
  </si>
  <si>
    <t>THANK YOU FOR YOUR SUPPORT</t>
  </si>
  <si>
    <t>Payments can be made by cash, cheque, or online transfer to the account below:</t>
  </si>
  <si>
    <t>Beneficiary Name:</t>
  </si>
  <si>
    <t>Bank Account No.:</t>
  </si>
  <si>
    <t>Delivery Order</t>
  </si>
  <si>
    <t>DELIVERY ORDER</t>
  </si>
  <si>
    <t>Remark</t>
  </si>
  <si>
    <t>Total Qty</t>
  </si>
  <si>
    <t>We have received above-mentioned items in</t>
  </si>
  <si>
    <t>good condition and order</t>
  </si>
  <si>
    <t>Cash Bill</t>
  </si>
  <si>
    <t>CASH BILL</t>
  </si>
  <si>
    <t>CASH</t>
  </si>
  <si>
    <t>Payments can be made by cash, or instant transfer to the account below:</t>
  </si>
  <si>
    <t>Purchase Order</t>
  </si>
  <si>
    <t>PURCHASE ORDER</t>
  </si>
  <si>
    <t>Supp Row</t>
  </si>
  <si>
    <t>Your Ref No.:</t>
  </si>
  <si>
    <t>The supplier shall ensure the quality of the purchased items and bear the corresponding responsibility.</t>
  </si>
  <si>
    <t>This confidential documents cannot be disclosed to third party without permission of us.</t>
  </si>
  <si>
    <t>Credit Note</t>
  </si>
  <si>
    <t>CREDIT NOTE</t>
  </si>
  <si>
    <t>-----------------------------------------</t>
  </si>
  <si>
    <t>Debit Note</t>
  </si>
  <si>
    <t>DEBIT NOTE</t>
  </si>
  <si>
    <t>Official Receipt</t>
  </si>
  <si>
    <t>Received from:</t>
  </si>
  <si>
    <t>Payment by:</t>
  </si>
  <si>
    <t>Reference No.:</t>
  </si>
  <si>
    <t xml:space="preserve">   -----------------------------------------</t>
  </si>
  <si>
    <t xml:space="preserve">   Prepared by</t>
  </si>
  <si>
    <t>Payment Voucher</t>
  </si>
  <si>
    <t>PAYMENT VOUCHER</t>
  </si>
  <si>
    <t>Pay To:</t>
  </si>
  <si>
    <t xml:space="preserve">              -----------------------------------------</t>
  </si>
  <si>
    <t xml:space="preserve">               Authorised Signature</t>
  </si>
  <si>
    <t>Received by</t>
  </si>
  <si>
    <t>l/s</t>
  </si>
  <si>
    <r>
      <t xml:space="preserve">PERSADA GEMILANG GLOBAL </t>
    </r>
    <r>
      <rPr>
        <b/>
        <sz val="10"/>
        <rFont val="Lao UI"/>
        <charset val="134"/>
      </rPr>
      <t>202503350239 (AS0507799-U)</t>
    </r>
  </si>
  <si>
    <t>58000 Kuala Lumpur</t>
  </si>
  <si>
    <t>Jalan Taman Seri Sentosa</t>
  </si>
  <si>
    <t>D-11-5,PPR Jalan Sri Sentosa</t>
  </si>
  <si>
    <t>Phone: +6010-353 1955    Email : persadagemilangmy@gmail.com</t>
  </si>
  <si>
    <t>MASJID AL-MUKHLISIN</t>
  </si>
  <si>
    <t>DS3231 Real Time Clock RTC Modules For Raspberry Pi</t>
  </si>
  <si>
    <t>Surge Protector For Power Port</t>
  </si>
  <si>
    <t>32GB SanDisk Micro SD Card</t>
  </si>
  <si>
    <t>AC-DC 5V 3A Usb Type C Power Adapter</t>
  </si>
  <si>
    <t>Micro Mini HDMI To HDMI Full HD Cable</t>
  </si>
  <si>
    <t>Raspberry Pi 4B Transparent Casing + Fan</t>
  </si>
  <si>
    <t>JASMA SMART SYSTEM (S/N : dcfd483c / 5816ab) Warranty 1 year</t>
  </si>
  <si>
    <t xml:space="preserve">Raspberry Pi 4 - Model B - 4GB Ram (S/N : ESD-GEC-1920098C) </t>
  </si>
  <si>
    <t>NINE HUNDRED AND TWENTY FIVE ONLY</t>
  </si>
  <si>
    <t>PERSADA GEMILANG GLOBAL</t>
  </si>
  <si>
    <t>PLEASE MAKE PAYMENT AT : 110 258 1847 (BANK RAKYAT)</t>
  </si>
  <si>
    <t>ONLINE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</si>
</sst>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45">
    <font>
      <sz val="11"/>
      <color theme="1"/>
      <name val="Calibri"/>
      <charset val="134"/>
      <scheme val="minor"/>
    </font>
    <font>
      <u/>
      <sz val="22"/>
      <color theme="0"/>
      <name val="Rockwell Extra Bold"/>
      <charset val="134"/>
    </font>
    <font>
      <b/>
      <sz val="20"/>
      <name val="Lao UI"/>
      <charset val="134"/>
    </font>
    <font>
      <sz val="16"/>
      <name val="Lao UI"/>
      <charset val="134"/>
    </font>
    <font>
      <sz val="12"/>
      <name val="Lao UI"/>
      <charset val="134"/>
    </font>
    <font>
      <b/>
      <sz val="16"/>
      <name val="Rockwell Extra Bold"/>
      <charset val="134"/>
    </font>
    <font>
      <sz val="14"/>
      <name val="Lao UI"/>
      <charset val="134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4"/>
      <name val="Lao UI"/>
      <charset val="134"/>
    </font>
    <font>
      <b/>
      <sz val="14"/>
      <name val="Lao UI"/>
      <charset val="134"/>
    </font>
    <font>
      <sz val="14"/>
      <color theme="1"/>
      <name val="Calibri"/>
      <charset val="134"/>
      <scheme val="minor"/>
    </font>
    <font>
      <b/>
      <sz val="13"/>
      <name val="Lao UI"/>
      <charset val="134"/>
    </font>
    <font>
      <sz val="12"/>
      <color theme="1"/>
      <name val="Lao UI"/>
      <charset val="134"/>
    </font>
    <font>
      <sz val="13"/>
      <name val="Lao UI"/>
      <charset val="134"/>
    </font>
    <font>
      <b/>
      <sz val="14"/>
      <name val="Rockwell Extra Bold"/>
      <charset val="134"/>
    </font>
    <font>
      <sz val="14"/>
      <color theme="1"/>
      <name val="Lao UI"/>
      <charset val="134"/>
    </font>
    <font>
      <sz val="13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4"/>
      <name val="Calibri"/>
      <charset val="134"/>
      <scheme val="minor"/>
    </font>
    <font>
      <sz val="13"/>
      <name val="Calibri"/>
      <charset val="134"/>
      <scheme val="minor"/>
    </font>
    <font>
      <b/>
      <i/>
      <sz val="16"/>
      <color theme="0" tint="-0.499984740745262"/>
      <name val="Lao UI"/>
      <charset val="134"/>
    </font>
    <font>
      <b/>
      <i/>
      <sz val="14"/>
      <name val="Lao UI"/>
      <charset val="134"/>
    </font>
    <font>
      <b/>
      <sz val="20"/>
      <name val="Rockwell Extra Bold"/>
      <charset val="134"/>
    </font>
    <font>
      <u/>
      <sz val="16"/>
      <color theme="10"/>
      <name val="Lao UI"/>
      <charset val="134"/>
    </font>
    <font>
      <b/>
      <sz val="24"/>
      <name val="Rockwell Extra Bold"/>
      <charset val="134"/>
    </font>
    <font>
      <b/>
      <sz val="16"/>
      <name val="Lao UI"/>
      <charset val="134"/>
    </font>
    <font>
      <b/>
      <sz val="11"/>
      <color theme="1"/>
      <name val="Calibri"/>
      <charset val="134"/>
      <scheme val="minor"/>
    </font>
    <font>
      <b/>
      <sz val="28"/>
      <color theme="5"/>
      <name val="Century Gothic"/>
      <charset val="134"/>
    </font>
    <font>
      <sz val="11"/>
      <color theme="1" tint="0.249977111117893"/>
      <name val="Century Gothic"/>
      <charset val="134"/>
    </font>
    <font>
      <b/>
      <sz val="14"/>
      <color theme="1" tint="0.249977111117893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u/>
      <sz val="11"/>
      <color theme="10"/>
      <name val="Calibri"/>
      <charset val="134"/>
      <scheme val="minor"/>
    </font>
    <font>
      <b/>
      <sz val="10"/>
      <name val="Lao UI"/>
      <charset val="134"/>
    </font>
    <font>
      <b/>
      <sz val="14"/>
      <color theme="1"/>
      <name val="Lao UI"/>
      <charset val="134"/>
    </font>
    <font>
      <b/>
      <sz val="28"/>
      <color theme="3" tint="0.39991454817346722"/>
      <name val="Century Gothic"/>
      <charset val="134"/>
    </font>
    <font>
      <b/>
      <sz val="28"/>
      <color rgb="FF33CCCC"/>
      <name val="Century Gothic"/>
      <charset val="134"/>
    </font>
    <font>
      <sz val="11"/>
      <color theme="1"/>
      <name val="Calibri"/>
      <charset val="134"/>
      <scheme val="minor"/>
    </font>
    <font>
      <sz val="16"/>
      <name val="Lao UI"/>
      <family val="2"/>
    </font>
    <font>
      <b/>
      <sz val="14"/>
      <name val="Lao UI"/>
      <family val="2"/>
    </font>
    <font>
      <sz val="14"/>
      <name val="Lao UI"/>
      <family val="2"/>
    </font>
    <font>
      <b/>
      <sz val="14"/>
      <color theme="1"/>
      <name val="Lao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40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151">
    <xf numFmtId="0" fontId="0" fillId="0" borderId="0" xfId="0"/>
    <xf numFmtId="0" fontId="0" fillId="2" borderId="0" xfId="0" applyFill="1"/>
    <xf numFmtId="0" fontId="3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top"/>
      <protection locked="0"/>
    </xf>
    <xf numFmtId="0" fontId="4" fillId="3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top"/>
      <protection locked="0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10" fillId="3" borderId="0" xfId="0" applyFont="1" applyFill="1" applyAlignment="1" applyProtection="1">
      <alignment horizontal="left" vertical="top"/>
      <protection locked="0"/>
    </xf>
    <xf numFmtId="0" fontId="6" fillId="3" borderId="0" xfId="0" applyFont="1" applyFill="1" applyAlignment="1" applyProtection="1">
      <alignment horizontal="center"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horizontal="right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Alignment="1" applyProtection="1">
      <alignment vertical="top"/>
      <protection locked="0"/>
    </xf>
    <xf numFmtId="0" fontId="13" fillId="3" borderId="0" xfId="0" applyFont="1" applyFill="1" applyProtection="1">
      <protection locked="0"/>
    </xf>
    <xf numFmtId="0" fontId="4" fillId="3" borderId="0" xfId="0" applyFont="1" applyFill="1" applyProtection="1">
      <protection locked="0"/>
    </xf>
    <xf numFmtId="0" fontId="14" fillId="3" borderId="0" xfId="0" applyFont="1" applyFill="1" applyAlignment="1" applyProtection="1">
      <alignment vertical="top"/>
      <protection locked="0"/>
    </xf>
    <xf numFmtId="0" fontId="4" fillId="2" borderId="0" xfId="0" applyFont="1" applyFill="1"/>
    <xf numFmtId="0" fontId="3" fillId="3" borderId="0" xfId="0" applyFont="1" applyFill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right"/>
      <protection locked="0"/>
    </xf>
    <xf numFmtId="0" fontId="3" fillId="3" borderId="0" xfId="0" applyFont="1" applyFill="1" applyAlignment="1" applyProtection="1">
      <alignment horizontal="left"/>
      <protection locked="0"/>
    </xf>
    <xf numFmtId="0" fontId="3" fillId="3" borderId="0" xfId="0" applyFont="1" applyFill="1" applyProtection="1">
      <protection locked="0"/>
    </xf>
    <xf numFmtId="0" fontId="3" fillId="3" borderId="0" xfId="2" applyFont="1" applyFill="1" applyAlignment="1" applyProtection="1">
      <protection locked="0"/>
    </xf>
    <xf numFmtId="0" fontId="15" fillId="3" borderId="0" xfId="0" applyFont="1" applyFill="1" applyAlignment="1" applyProtection="1">
      <alignment horizontal="left" vertical="top"/>
      <protection locked="0"/>
    </xf>
    <xf numFmtId="0" fontId="6" fillId="3" borderId="0" xfId="0" applyFont="1" applyFill="1" applyProtection="1">
      <protection locked="0"/>
    </xf>
    <xf numFmtId="0" fontId="6" fillId="3" borderId="0" xfId="0" applyFont="1" applyFill="1" applyAlignment="1" applyProtection="1">
      <alignment horizontal="right" vertical="top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14" fillId="3" borderId="0" xfId="0" applyFont="1" applyFill="1" applyAlignment="1" applyProtection="1">
      <alignment horizontal="left" vertical="top"/>
      <protection locked="0"/>
    </xf>
    <xf numFmtId="0" fontId="15" fillId="3" borderId="0" xfId="0" applyFont="1" applyFill="1" applyAlignment="1" applyProtection="1">
      <alignment vertical="top"/>
      <protection locked="0"/>
    </xf>
    <xf numFmtId="14" fontId="6" fillId="3" borderId="0" xfId="0" applyNumberFormat="1" applyFont="1" applyFill="1" applyAlignment="1" applyProtection="1">
      <alignment horizontal="left" vertical="top"/>
      <protection locked="0"/>
    </xf>
    <xf numFmtId="43" fontId="6" fillId="3" borderId="0" xfId="1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>
      <alignment vertical="center"/>
    </xf>
    <xf numFmtId="0" fontId="0" fillId="3" borderId="0" xfId="0" applyFill="1"/>
    <xf numFmtId="0" fontId="6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top"/>
      <protection locked="0"/>
    </xf>
    <xf numFmtId="0" fontId="5" fillId="3" borderId="0" xfId="0" applyFont="1" applyFill="1" applyAlignment="1" applyProtection="1">
      <alignment vertical="center"/>
      <protection locked="0"/>
    </xf>
    <xf numFmtId="43" fontId="6" fillId="3" borderId="0" xfId="0" applyNumberFormat="1" applyFont="1" applyFill="1" applyAlignment="1" applyProtection="1">
      <alignment horizontal="right" vertical="center"/>
      <protection locked="0"/>
    </xf>
    <xf numFmtId="37" fontId="6" fillId="3" borderId="0" xfId="0" applyNumberFormat="1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top"/>
      <protection locked="0"/>
    </xf>
    <xf numFmtId="0" fontId="16" fillId="3" borderId="0" xfId="0" applyFont="1" applyFill="1" applyProtection="1">
      <protection locked="0"/>
    </xf>
    <xf numFmtId="0" fontId="17" fillId="3" borderId="0" xfId="0" applyFont="1" applyFill="1" applyProtection="1">
      <protection locked="0"/>
    </xf>
    <xf numFmtId="0" fontId="5" fillId="3" borderId="0" xfId="0" applyFont="1" applyFill="1" applyAlignment="1" applyProtection="1">
      <alignment horizontal="left"/>
      <protection locked="0"/>
    </xf>
    <xf numFmtId="37" fontId="6" fillId="3" borderId="0" xfId="0" applyNumberFormat="1" applyFont="1" applyFill="1" applyAlignment="1" applyProtection="1">
      <alignment horizontal="center" vertical="center"/>
      <protection locked="0"/>
    </xf>
    <xf numFmtId="14" fontId="14" fillId="3" borderId="0" xfId="0" applyNumberFormat="1" applyFont="1" applyFill="1" applyAlignment="1" applyProtection="1">
      <alignment vertical="top"/>
      <protection locked="0"/>
    </xf>
    <xf numFmtId="0" fontId="5" fillId="3" borderId="0" xfId="0" applyFont="1" applyFill="1" applyAlignment="1" applyProtection="1">
      <alignment horizontal="left" vertical="top"/>
      <protection locked="0"/>
    </xf>
    <xf numFmtId="0" fontId="5" fillId="3" borderId="0" xfId="0" applyFont="1" applyFill="1" applyAlignment="1" applyProtection="1">
      <alignment vertical="top"/>
      <protection locked="0"/>
    </xf>
    <xf numFmtId="43" fontId="6" fillId="3" borderId="0" xfId="1" applyFont="1" applyFill="1" applyAlignment="1" applyProtection="1">
      <alignment vertical="center"/>
      <protection locked="0"/>
    </xf>
    <xf numFmtId="43" fontId="10" fillId="3" borderId="3" xfId="1" applyFont="1" applyFill="1" applyBorder="1" applyAlignment="1" applyProtection="1">
      <alignment horizontal="right" vertical="center"/>
      <protection locked="0"/>
    </xf>
    <xf numFmtId="0" fontId="18" fillId="2" borderId="0" xfId="0" applyFont="1" applyFill="1"/>
    <xf numFmtId="0" fontId="18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/>
    </xf>
    <xf numFmtId="0" fontId="20" fillId="3" borderId="0" xfId="0" applyFont="1" applyFill="1" applyProtection="1">
      <protection locked="0"/>
    </xf>
    <xf numFmtId="0" fontId="21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43" fontId="10" fillId="3" borderId="0" xfId="1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vertical="center"/>
      <protection locked="0"/>
    </xf>
    <xf numFmtId="0" fontId="23" fillId="4" borderId="4" xfId="0" applyFont="1" applyFill="1" applyBorder="1" applyAlignment="1" applyProtection="1">
      <alignment vertical="center"/>
      <protection locked="0"/>
    </xf>
    <xf numFmtId="0" fontId="6" fillId="3" borderId="5" xfId="0" applyFont="1" applyFill="1" applyBorder="1" applyAlignment="1" applyProtection="1">
      <alignment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top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24" fillId="3" borderId="0" xfId="0" applyFont="1" applyFill="1" applyAlignment="1" applyProtection="1">
      <alignment horizontal="right" vertical="center"/>
      <protection locked="0"/>
    </xf>
    <xf numFmtId="0" fontId="3" fillId="3" borderId="0" xfId="2" applyFont="1" applyFill="1" applyAlignment="1" applyProtection="1">
      <alignment vertical="center"/>
      <protection locked="0"/>
    </xf>
    <xf numFmtId="0" fontId="25" fillId="3" borderId="0" xfId="2" applyFont="1" applyFill="1" applyAlignment="1" applyProtection="1">
      <alignment horizontal="right" vertical="center"/>
      <protection locked="0"/>
    </xf>
    <xf numFmtId="0" fontId="23" fillId="4" borderId="6" xfId="0" applyFont="1" applyFill="1" applyBorder="1" applyAlignment="1" applyProtection="1">
      <alignment vertical="center"/>
      <protection locked="0"/>
    </xf>
    <xf numFmtId="0" fontId="26" fillId="3" borderId="7" xfId="0" applyFont="1" applyFill="1" applyBorder="1" applyProtection="1"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vertical="center"/>
      <protection locked="0"/>
    </xf>
    <xf numFmtId="0" fontId="6" fillId="3" borderId="7" xfId="0" applyFont="1" applyFill="1" applyBorder="1" applyAlignment="1" applyProtection="1">
      <alignment vertical="top"/>
      <protection locked="0"/>
    </xf>
    <xf numFmtId="0" fontId="6" fillId="3" borderId="11" xfId="0" applyFont="1" applyFill="1" applyBorder="1" applyAlignment="1" applyProtection="1">
      <alignment horizontal="center" vertical="top"/>
      <protection locked="0"/>
    </xf>
    <xf numFmtId="2" fontId="6" fillId="3" borderId="12" xfId="0" applyNumberFormat="1" applyFont="1" applyFill="1" applyBorder="1" applyAlignment="1" applyProtection="1">
      <alignment vertical="top"/>
      <protection locked="0"/>
    </xf>
    <xf numFmtId="43" fontId="6" fillId="3" borderId="5" xfId="1" applyFont="1" applyFill="1" applyBorder="1" applyAlignment="1" applyProtection="1">
      <alignment vertic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2" fontId="6" fillId="3" borderId="5" xfId="0" applyNumberFormat="1" applyFont="1" applyFill="1" applyBorder="1" applyAlignment="1" applyProtection="1">
      <alignment vertical="top"/>
      <protection locked="0"/>
    </xf>
    <xf numFmtId="43" fontId="6" fillId="3" borderId="9" xfId="1" applyFont="1" applyFill="1" applyBorder="1" applyAlignment="1" applyProtection="1">
      <alignment vertical="center"/>
      <protection locked="0"/>
    </xf>
    <xf numFmtId="43" fontId="6" fillId="3" borderId="13" xfId="1" applyFont="1" applyFill="1" applyBorder="1" applyAlignment="1" applyProtection="1">
      <alignment vertical="center"/>
      <protection locked="0"/>
    </xf>
    <xf numFmtId="43" fontId="10" fillId="3" borderId="9" xfId="1" applyFont="1" applyFill="1" applyBorder="1" applyAlignment="1" applyProtection="1">
      <alignment horizontal="right" vertical="center"/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28" fillId="2" borderId="0" xfId="0" applyFont="1" applyFill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164" fontId="6" fillId="3" borderId="0" xfId="0" applyNumberFormat="1" applyFont="1" applyFill="1" applyAlignment="1" applyProtection="1">
      <alignment horizontal="right" vertical="center"/>
      <protection locked="0"/>
    </xf>
    <xf numFmtId="164" fontId="6" fillId="3" borderId="0" xfId="0" applyNumberFormat="1" applyFont="1" applyFill="1" applyAlignment="1" applyProtection="1">
      <alignment vertical="center"/>
      <protection locked="0"/>
    </xf>
    <xf numFmtId="0" fontId="14" fillId="3" borderId="0" xfId="0" quotePrefix="1" applyFont="1" applyFill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43" fillId="3" borderId="0" xfId="0" applyFont="1" applyFill="1" applyAlignment="1" applyProtection="1">
      <alignment horizontal="left" vertical="center"/>
      <protection locked="0"/>
    </xf>
    <xf numFmtId="0" fontId="43" fillId="3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0" fillId="3" borderId="0" xfId="0" applyFont="1" applyFill="1" applyAlignment="1" applyProtection="1">
      <alignment horizontal="left" vertical="top"/>
      <protection locked="0"/>
    </xf>
    <xf numFmtId="14" fontId="6" fillId="3" borderId="0" xfId="0" applyNumberFormat="1" applyFont="1" applyFill="1" applyAlignment="1" applyProtection="1">
      <alignment horizontal="left" vertical="top"/>
      <protection locked="0"/>
    </xf>
    <xf numFmtId="0" fontId="6" fillId="3" borderId="0" xfId="0" applyFont="1" applyFill="1" applyAlignment="1" applyProtection="1">
      <alignment horizontal="left" vertical="top" wrapText="1"/>
      <protection locked="0"/>
    </xf>
    <xf numFmtId="0" fontId="10" fillId="3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top"/>
      <protection locked="0"/>
    </xf>
    <xf numFmtId="1" fontId="6" fillId="3" borderId="0" xfId="0" applyNumberFormat="1" applyFont="1" applyFill="1" applyAlignment="1" applyProtection="1">
      <alignment horizontal="center"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0" fontId="26" fillId="4" borderId="4" xfId="0" applyFont="1" applyFill="1" applyBorder="1" applyAlignment="1" applyProtection="1">
      <alignment horizontal="center"/>
      <protection locked="0"/>
    </xf>
    <xf numFmtId="0" fontId="26" fillId="4" borderId="6" xfId="0" applyFont="1" applyFill="1" applyBorder="1" applyAlignment="1" applyProtection="1">
      <alignment horizontal="center"/>
      <protection locked="0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left" vertical="center"/>
      <protection locked="0"/>
    </xf>
    <xf numFmtId="43" fontId="3" fillId="3" borderId="7" xfId="1" applyFont="1" applyFill="1" applyBorder="1" applyAlignment="1" applyProtection="1">
      <alignment horizontal="right" vertical="center"/>
      <protection locked="0"/>
    </xf>
    <xf numFmtId="43" fontId="3" fillId="3" borderId="5" xfId="1" applyFont="1" applyFill="1" applyBorder="1" applyAlignment="1" applyProtection="1">
      <alignment horizontal="right" vertical="center"/>
      <protection locked="0"/>
    </xf>
    <xf numFmtId="43" fontId="27" fillId="3" borderId="4" xfId="1" applyFont="1" applyFill="1" applyBorder="1" applyAlignment="1" applyProtection="1">
      <alignment horizontal="right" vertical="center"/>
      <protection locked="0"/>
    </xf>
    <xf numFmtId="43" fontId="27" fillId="3" borderId="10" xfId="1" applyFont="1" applyFill="1" applyBorder="1" applyAlignment="1" applyProtection="1">
      <alignment horizontal="right" vertical="center"/>
      <protection locked="0"/>
    </xf>
    <xf numFmtId="0" fontId="14" fillId="3" borderId="0" xfId="0" applyFont="1" applyFill="1" applyAlignment="1" applyProtection="1">
      <alignment horizontal="left" vertical="top"/>
      <protection locked="0"/>
    </xf>
    <xf numFmtId="0" fontId="6" fillId="3" borderId="8" xfId="0" applyFont="1" applyFill="1" applyBorder="1" applyAlignment="1" applyProtection="1">
      <alignment horizontal="left" vertical="center"/>
      <protection locked="0"/>
    </xf>
    <xf numFmtId="0" fontId="6" fillId="3" borderId="14" xfId="0" applyFont="1" applyFill="1" applyBorder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41" fillId="3" borderId="0" xfId="0" applyFont="1" applyFill="1" applyAlignment="1" applyProtection="1">
      <alignment horizontal="center" vertical="top"/>
      <protection locked="0"/>
    </xf>
    <xf numFmtId="0" fontId="3" fillId="3" borderId="0" xfId="0" applyFont="1" applyFill="1" applyAlignment="1" applyProtection="1">
      <alignment horizontal="center" vertical="top"/>
      <protection locked="0"/>
    </xf>
    <xf numFmtId="0" fontId="41" fillId="3" borderId="0" xfId="0" applyFont="1" applyFill="1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12" fontId="42" fillId="3" borderId="0" xfId="0" applyNumberFormat="1" applyFont="1" applyFill="1" applyAlignment="1" applyProtection="1">
      <alignment horizontal="left" vertical="top"/>
      <protection locked="0"/>
    </xf>
    <xf numFmtId="12" fontId="10" fillId="3" borderId="0" xfId="0" applyNumberFormat="1" applyFont="1" applyFill="1" applyAlignment="1" applyProtection="1">
      <alignment horizontal="left" vertical="top"/>
      <protection locked="0"/>
    </xf>
    <xf numFmtId="0" fontId="42" fillId="3" borderId="0" xfId="0" applyFont="1" applyFill="1" applyAlignment="1" applyProtection="1">
      <alignment horizontal="left" vertical="top"/>
      <protection locked="0"/>
    </xf>
    <xf numFmtId="0" fontId="43" fillId="3" borderId="0" xfId="0" applyFont="1" applyFill="1" applyAlignment="1" applyProtection="1">
      <alignment vertical="center" wrapText="1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43" fillId="3" borderId="0" xfId="0" applyFont="1" applyFill="1" applyAlignment="1" applyProtection="1">
      <alignment horizontal="left" vertical="center"/>
      <protection locked="0"/>
    </xf>
    <xf numFmtId="0" fontId="43" fillId="3" borderId="0" xfId="0" applyFont="1" applyFill="1" applyAlignment="1" applyProtection="1">
      <alignment horizontal="left" vertical="center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44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left"/>
      <protection locked="0"/>
    </xf>
    <xf numFmtId="0" fontId="6" fillId="3" borderId="0" xfId="0" applyFont="1" applyFill="1" applyAlignment="1" applyProtection="1">
      <alignment horizontal="center" vertical="top"/>
      <protection locked="0"/>
    </xf>
    <xf numFmtId="16" fontId="10" fillId="3" borderId="0" xfId="0" applyNumberFormat="1" applyFont="1" applyFill="1" applyAlignment="1" applyProtection="1">
      <alignment horizontal="left" vertical="top"/>
      <protection locked="0"/>
    </xf>
    <xf numFmtId="43" fontId="6" fillId="3" borderId="0" xfId="0" applyNumberFormat="1" applyFont="1" applyFill="1" applyAlignment="1" applyProtection="1">
      <alignment horizontal="right" vertical="center"/>
      <protection locked="0"/>
    </xf>
    <xf numFmtId="43" fontId="6" fillId="3" borderId="0" xfId="1" applyFont="1" applyFill="1" applyAlignment="1" applyProtection="1">
      <alignment horizontal="center" vertical="center"/>
      <protection locked="0"/>
    </xf>
    <xf numFmtId="43" fontId="10" fillId="3" borderId="1" xfId="1" applyFont="1" applyFill="1" applyBorder="1" applyAlignment="1" applyProtection="1">
      <alignment horizontal="right" vertical="center"/>
      <protection locked="0"/>
    </xf>
    <xf numFmtId="43" fontId="10" fillId="3" borderId="2" xfId="1" applyFont="1" applyFill="1" applyBorder="1" applyAlignment="1" applyProtection="1">
      <alignment horizontal="righ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top"/>
      <protection locked="0"/>
    </xf>
    <xf numFmtId="37" fontId="6" fillId="3" borderId="0" xfId="0" applyNumberFormat="1" applyFont="1" applyFill="1" applyAlignment="1" applyProtection="1">
      <alignment horizontal="left" vertical="center"/>
      <protection locked="0"/>
    </xf>
    <xf numFmtId="0" fontId="14" fillId="3" borderId="0" xfId="0" applyFont="1" applyFill="1" applyAlignment="1" applyProtection="1">
      <alignment horizontal="center" vertical="top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4</xdr:row>
      <xdr:rowOff>57944</xdr:rowOff>
    </xdr:from>
    <xdr:to>
      <xdr:col>19</xdr:col>
      <xdr:colOff>0</xdr:colOff>
      <xdr:row>4</xdr:row>
      <xdr:rowOff>57944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 flipV="1">
          <a:off x="2521585" y="1688465"/>
          <a:ext cx="106076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6</xdr:row>
      <xdr:rowOff>143668</xdr:rowOff>
    </xdr:from>
    <xdr:to>
      <xdr:col>6</xdr:col>
      <xdr:colOff>119062</xdr:colOff>
      <xdr:row>9</xdr:row>
      <xdr:rowOff>11587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618105" y="2155190"/>
          <a:ext cx="0" cy="4775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10</xdr:row>
      <xdr:rowOff>139699</xdr:rowOff>
    </xdr:from>
    <xdr:to>
      <xdr:col>6</xdr:col>
      <xdr:colOff>128587</xdr:colOff>
      <xdr:row>12</xdr:row>
      <xdr:rowOff>127793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627630" y="2981325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6</xdr:row>
      <xdr:rowOff>142872</xdr:rowOff>
    </xdr:from>
    <xdr:to>
      <xdr:col>13</xdr:col>
      <xdr:colOff>84931</xdr:colOff>
      <xdr:row>9</xdr:row>
      <xdr:rowOff>10791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199755" y="2153920"/>
          <a:ext cx="0" cy="4775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10</xdr:row>
      <xdr:rowOff>153192</xdr:rowOff>
    </xdr:from>
    <xdr:to>
      <xdr:col>13</xdr:col>
      <xdr:colOff>84927</xdr:colOff>
      <xdr:row>12</xdr:row>
      <xdr:rowOff>141286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8199755" y="2995295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6</xdr:row>
      <xdr:rowOff>141285</xdr:rowOff>
    </xdr:from>
    <xdr:to>
      <xdr:col>7</xdr:col>
      <xdr:colOff>357187</xdr:colOff>
      <xdr:row>6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615565" y="2152650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12</xdr:row>
      <xdr:rowOff>138111</xdr:rowOff>
    </xdr:from>
    <xdr:to>
      <xdr:col>7</xdr:col>
      <xdr:colOff>366712</xdr:colOff>
      <xdr:row>12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625090" y="3422015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13</xdr:row>
      <xdr:rowOff>92869</xdr:rowOff>
    </xdr:from>
    <xdr:to>
      <xdr:col>19</xdr:col>
      <xdr:colOff>0</xdr:colOff>
      <xdr:row>13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>
        <a:xfrm flipV="1">
          <a:off x="2544445" y="3597910"/>
          <a:ext cx="1058481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15</xdr:row>
      <xdr:rowOff>102394</xdr:rowOff>
    </xdr:from>
    <xdr:to>
      <xdr:col>19</xdr:col>
      <xdr:colOff>0</xdr:colOff>
      <xdr:row>15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>
        <a:xfrm flipV="1">
          <a:off x="2541905" y="3912235"/>
          <a:ext cx="105873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655783</xdr:colOff>
      <xdr:row>6</xdr:row>
      <xdr:rowOff>142877</xdr:rowOff>
    </xdr:from>
    <xdr:to>
      <xdr:col>13</xdr:col>
      <xdr:colOff>89840</xdr:colOff>
      <xdr:row>6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680960" y="2154555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12</xdr:row>
      <xdr:rowOff>158748</xdr:rowOff>
    </xdr:from>
    <xdr:to>
      <xdr:col>13</xdr:col>
      <xdr:colOff>93826</xdr:colOff>
      <xdr:row>12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7645400" y="3442335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21</xdr:row>
      <xdr:rowOff>119062</xdr:rowOff>
    </xdr:from>
    <xdr:to>
      <xdr:col>19</xdr:col>
      <xdr:colOff>0</xdr:colOff>
      <xdr:row>21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>
        <a:xfrm flipV="1">
          <a:off x="2510790" y="5555615"/>
          <a:ext cx="1061847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25</xdr:row>
      <xdr:rowOff>30162</xdr:rowOff>
    </xdr:from>
    <xdr:to>
      <xdr:col>18</xdr:col>
      <xdr:colOff>1070610</xdr:colOff>
      <xdr:row>25</xdr:row>
      <xdr:rowOff>30162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>
        <a:xfrm flipV="1">
          <a:off x="2499360" y="6245860"/>
          <a:ext cx="1058037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MY"/>
        </a:p>
      </xdr:txBody>
    </xdr:sp>
    <xdr:clientData/>
  </xdr:twoCellAnchor>
  <xdr:twoCellAnchor editAs="oneCell">
    <xdr:from>
      <xdr:col>8</xdr:col>
      <xdr:colOff>472440</xdr:colOff>
      <xdr:row>26</xdr:row>
      <xdr:rowOff>60325</xdr:rowOff>
    </xdr:from>
    <xdr:to>
      <xdr:col>9</xdr:col>
      <xdr:colOff>488315</xdr:colOff>
      <xdr:row>31</xdr:row>
      <xdr:rowOff>137160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93820" y="6405880"/>
          <a:ext cx="1349375" cy="1181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8</xdr:row>
      <xdr:rowOff>146844</xdr:rowOff>
    </xdr:from>
    <xdr:to>
      <xdr:col>14</xdr:col>
      <xdr:colOff>596900</xdr:colOff>
      <xdr:row>8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>
        <a:xfrm flipV="1">
          <a:off x="2521585" y="2665095"/>
          <a:ext cx="103638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6076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618105" y="2614930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13</xdr:row>
      <xdr:rowOff>152399</xdr:rowOff>
    </xdr:from>
    <xdr:to>
      <xdr:col>6</xdr:col>
      <xdr:colOff>128587</xdr:colOff>
      <xdr:row>15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2627630" y="3728085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8199755" y="2613660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13</xdr:row>
      <xdr:rowOff>165892</xdr:rowOff>
    </xdr:from>
    <xdr:to>
      <xdr:col>13</xdr:col>
      <xdr:colOff>84927</xdr:colOff>
      <xdr:row>15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8199755" y="3742055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2615565" y="2612390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15</xdr:row>
      <xdr:rowOff>138111</xdr:rowOff>
    </xdr:from>
    <xdr:to>
      <xdr:col>7</xdr:col>
      <xdr:colOff>366712</xdr:colOff>
      <xdr:row>15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2625090" y="4156075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16</xdr:row>
      <xdr:rowOff>92869</xdr:rowOff>
    </xdr:from>
    <xdr:to>
      <xdr:col>19</xdr:col>
      <xdr:colOff>0</xdr:colOff>
      <xdr:row>16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>
        <a:xfrm flipV="1">
          <a:off x="2544445" y="4331970"/>
          <a:ext cx="1058481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18</xdr:row>
      <xdr:rowOff>102394</xdr:rowOff>
    </xdr:from>
    <xdr:to>
      <xdr:col>19</xdr:col>
      <xdr:colOff>0</xdr:colOff>
      <xdr:row>18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>
        <a:xfrm flipV="1">
          <a:off x="2541905" y="4693920"/>
          <a:ext cx="105873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655783</xdr:colOff>
      <xdr:row>8</xdr:row>
      <xdr:rowOff>142877</xdr:rowOff>
    </xdr:from>
    <xdr:to>
      <xdr:col>13</xdr:col>
      <xdr:colOff>89840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7680960" y="2614295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15</xdr:row>
      <xdr:rowOff>158748</xdr:rowOff>
    </xdr:from>
    <xdr:to>
      <xdr:col>13</xdr:col>
      <xdr:colOff>93826</xdr:colOff>
      <xdr:row>15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7645400" y="4176395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27</xdr:row>
      <xdr:rowOff>119062</xdr:rowOff>
    </xdr:from>
    <xdr:to>
      <xdr:col>19</xdr:col>
      <xdr:colOff>0</xdr:colOff>
      <xdr:row>27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>
        <a:xfrm flipV="1">
          <a:off x="2510790" y="6158865"/>
          <a:ext cx="1061847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77507</xdr:colOff>
      <xdr:row>2</xdr:row>
      <xdr:rowOff>62118</xdr:rowOff>
    </xdr:from>
    <xdr:to>
      <xdr:col>9</xdr:col>
      <xdr:colOff>237239</xdr:colOff>
      <xdr:row>5</xdr:row>
      <xdr:rowOff>62630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2712" y="1116392"/>
          <a:ext cx="2414417" cy="93996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30162</xdr:rowOff>
    </xdr:from>
    <xdr:to>
      <xdr:col>18</xdr:col>
      <xdr:colOff>1070610</xdr:colOff>
      <xdr:row>31</xdr:row>
      <xdr:rowOff>30162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ShapeType="1"/>
        </xdr:cNvSpPr>
      </xdr:nvSpPr>
      <xdr:spPr>
        <a:xfrm flipV="1">
          <a:off x="2499360" y="6889115"/>
          <a:ext cx="1058037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MY"/>
        </a:p>
      </xdr:txBody>
    </xdr:sp>
    <xdr:clientData/>
  </xdr:twoCellAnchor>
  <xdr:twoCellAnchor editAs="oneCell">
    <xdr:from>
      <xdr:col>8</xdr:col>
      <xdr:colOff>411681</xdr:colOff>
      <xdr:row>34</xdr:row>
      <xdr:rowOff>219206</xdr:rowOff>
    </xdr:from>
    <xdr:to>
      <xdr:col>9</xdr:col>
      <xdr:colOff>413937</xdr:colOff>
      <xdr:row>40</xdr:row>
      <xdr:rowOff>11361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17D3E67-B1D3-1620-F95F-4429779E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73091">
          <a:off x="3835462" y="8935233"/>
          <a:ext cx="1338365" cy="13474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6762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618105" y="275145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14</xdr:row>
      <xdr:rowOff>152399</xdr:rowOff>
    </xdr:from>
    <xdr:to>
      <xdr:col>6</xdr:col>
      <xdr:colOff>128587</xdr:colOff>
      <xdr:row>16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2627630" y="4085590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2615565" y="2748915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16</xdr:row>
      <xdr:rowOff>138111</xdr:rowOff>
    </xdr:from>
    <xdr:to>
      <xdr:col>7</xdr:col>
      <xdr:colOff>366712</xdr:colOff>
      <xdr:row>16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2625090" y="4513580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19</xdr:row>
      <xdr:rowOff>92869</xdr:rowOff>
    </xdr:from>
    <xdr:to>
      <xdr:col>19</xdr:col>
      <xdr:colOff>0</xdr:colOff>
      <xdr:row>19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>
        <a:xfrm flipV="1">
          <a:off x="2544445" y="5093335"/>
          <a:ext cx="106533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21</xdr:row>
      <xdr:rowOff>102394</xdr:rowOff>
    </xdr:from>
    <xdr:to>
      <xdr:col>19</xdr:col>
      <xdr:colOff>0</xdr:colOff>
      <xdr:row>21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>
        <a:xfrm flipV="1">
          <a:off x="2541905" y="5544820"/>
          <a:ext cx="106559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655783</xdr:colOff>
      <xdr:row>8</xdr:row>
      <xdr:rowOff>142877</xdr:rowOff>
    </xdr:from>
    <xdr:to>
      <xdr:col>13</xdr:col>
      <xdr:colOff>89840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7680960" y="275082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16</xdr:row>
      <xdr:rowOff>158748</xdr:rowOff>
    </xdr:from>
    <xdr:to>
      <xdr:col>13</xdr:col>
      <xdr:colOff>93826</xdr:colOff>
      <xdr:row>16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7645400" y="4533900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42</xdr:row>
      <xdr:rowOff>119062</xdr:rowOff>
    </xdr:from>
    <xdr:to>
      <xdr:col>19</xdr:col>
      <xdr:colOff>0</xdr:colOff>
      <xdr:row>42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>
        <a:xfrm flipV="1">
          <a:off x="2510790" y="12181205"/>
          <a:ext cx="106870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476250</xdr:colOff>
      <xdr:row>0</xdr:row>
      <xdr:rowOff>254000</xdr:rowOff>
    </xdr:from>
    <xdr:to>
      <xdr:col>9</xdr:col>
      <xdr:colOff>746125</xdr:colOff>
      <xdr:row>6</xdr:row>
      <xdr:rowOff>75279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2790" y="254000"/>
          <a:ext cx="2228215" cy="18478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30162</xdr:rowOff>
    </xdr:from>
    <xdr:to>
      <xdr:col>18</xdr:col>
      <xdr:colOff>1070610</xdr:colOff>
      <xdr:row>46</xdr:row>
      <xdr:rowOff>30162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ShapeType="1"/>
        </xdr:cNvSpPr>
      </xdr:nvSpPr>
      <xdr:spPr>
        <a:xfrm flipV="1">
          <a:off x="2499360" y="12911455"/>
          <a:ext cx="1064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MY"/>
        </a:p>
      </xdr:txBody>
    </xdr:sp>
    <xdr:clientData/>
  </xdr:twoCellAnchor>
  <xdr:twoCellAnchor editAs="oneCell">
    <xdr:from>
      <xdr:col>8</xdr:col>
      <xdr:colOff>589775</xdr:colOff>
      <xdr:row>50</xdr:row>
      <xdr:rowOff>15875</xdr:rowOff>
    </xdr:from>
    <xdr:to>
      <xdr:col>9</xdr:col>
      <xdr:colOff>677050</xdr:colOff>
      <xdr:row>55</xdr:row>
      <xdr:rowOff>134252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660" y="13731875"/>
          <a:ext cx="1421130" cy="122301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27</xdr:row>
      <xdr:rowOff>269875</xdr:rowOff>
    </xdr:from>
    <xdr:to>
      <xdr:col>14</xdr:col>
      <xdr:colOff>212725</xdr:colOff>
      <xdr:row>38</xdr:row>
      <xdr:rowOff>98425</xdr:rowOff>
    </xdr:to>
    <xdr:pic>
      <xdr:nvPicPr>
        <xdr:cNvPr id="17" name="Picture 16" descr="A diagram of a family tree&#10;&#10;Description automatically generated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915" y="7931785"/>
          <a:ext cx="6120130" cy="3055620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285751</xdr:colOff>
      <xdr:row>27</xdr:row>
      <xdr:rowOff>269875</xdr:rowOff>
    </xdr:from>
    <xdr:to>
      <xdr:col>17</xdr:col>
      <xdr:colOff>473926</xdr:colOff>
      <xdr:row>39</xdr:row>
      <xdr:rowOff>181625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63150" y="7931785"/>
          <a:ext cx="1673860" cy="3432175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26</xdr:row>
      <xdr:rowOff>158750</xdr:rowOff>
    </xdr:from>
    <xdr:to>
      <xdr:col>9</xdr:col>
      <xdr:colOff>381000</xdr:colOff>
      <xdr:row>28</xdr:row>
      <xdr:rowOff>79375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3352165" y="7527290"/>
          <a:ext cx="1783715" cy="507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Artwork</a:t>
          </a:r>
          <a:r>
            <a:rPr lang="en-US" sz="1800" baseline="0"/>
            <a:t> 1</a:t>
          </a:r>
          <a:endParaRPr lang="en-US" sz="1800"/>
        </a:p>
      </xdr:txBody>
    </xdr:sp>
    <xdr:clientData/>
  </xdr:twoCellAnchor>
  <xdr:twoCellAnchor>
    <xdr:from>
      <xdr:col>15</xdr:col>
      <xdr:colOff>215900</xdr:colOff>
      <xdr:row>26</xdr:row>
      <xdr:rowOff>168275</xdr:rowOff>
    </xdr:from>
    <xdr:to>
      <xdr:col>17</xdr:col>
      <xdr:colOff>501650</xdr:colOff>
      <xdr:row>28</xdr:row>
      <xdr:rowOff>88900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9893300" y="7536815"/>
          <a:ext cx="1771650" cy="507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Name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618105" y="275145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14</xdr:row>
      <xdr:rowOff>152399</xdr:rowOff>
    </xdr:from>
    <xdr:to>
      <xdr:col>6</xdr:col>
      <xdr:colOff>128587</xdr:colOff>
      <xdr:row>16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2627630" y="4085590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2615565" y="2748915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16</xdr:row>
      <xdr:rowOff>138111</xdr:rowOff>
    </xdr:from>
    <xdr:to>
      <xdr:col>7</xdr:col>
      <xdr:colOff>366712</xdr:colOff>
      <xdr:row>16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2625090" y="4513580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19</xdr:row>
      <xdr:rowOff>92869</xdr:rowOff>
    </xdr:from>
    <xdr:to>
      <xdr:col>20</xdr:col>
      <xdr:colOff>0</xdr:colOff>
      <xdr:row>19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>
        <a:xfrm flipV="1">
          <a:off x="2544445" y="513143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42862</xdr:colOff>
      <xdr:row>21</xdr:row>
      <xdr:rowOff>102394</xdr:rowOff>
    </xdr:from>
    <xdr:to>
      <xdr:col>20</xdr:col>
      <xdr:colOff>0</xdr:colOff>
      <xdr:row>21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ShapeType="1"/>
        </xdr:cNvSpPr>
      </xdr:nvSpPr>
      <xdr:spPr>
        <a:xfrm flipV="1">
          <a:off x="2541905" y="558292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12</xdr:col>
      <xdr:colOff>655783</xdr:colOff>
      <xdr:row>8</xdr:row>
      <xdr:rowOff>142877</xdr:rowOff>
    </xdr:from>
    <xdr:to>
      <xdr:col>13</xdr:col>
      <xdr:colOff>89840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7680960" y="275082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16</xdr:row>
      <xdr:rowOff>158748</xdr:rowOff>
    </xdr:from>
    <xdr:to>
      <xdr:col>13</xdr:col>
      <xdr:colOff>93826</xdr:colOff>
      <xdr:row>16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7645400" y="4533900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47</xdr:row>
      <xdr:rowOff>119062</xdr:rowOff>
    </xdr:from>
    <xdr:to>
      <xdr:col>19</xdr:col>
      <xdr:colOff>576264</xdr:colOff>
      <xdr:row>47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>
        <a:xfrm flipV="1">
          <a:off x="2510790" y="1315466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238124</xdr:colOff>
      <xdr:row>51</xdr:row>
      <xdr:rowOff>11904</xdr:rowOff>
    </xdr:from>
    <xdr:to>
      <xdr:col>10</xdr:col>
      <xdr:colOff>23813</xdr:colOff>
      <xdr:row>51</xdr:row>
      <xdr:rowOff>11905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ShapeType="1"/>
        </xdr:cNvSpPr>
      </xdr:nvSpPr>
      <xdr:spPr>
        <a:xfrm>
          <a:off x="2736850" y="13982700"/>
          <a:ext cx="307022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8</xdr:row>
      <xdr:rowOff>146844</xdr:rowOff>
    </xdr:from>
    <xdr:to>
      <xdr:col>14</xdr:col>
      <xdr:colOff>596900</xdr:colOff>
      <xdr:row>8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>
        <a:xfrm flipV="1">
          <a:off x="2521585" y="2665095"/>
          <a:ext cx="103638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238124</xdr:colOff>
      <xdr:row>46</xdr:row>
      <xdr:rowOff>11904</xdr:rowOff>
    </xdr:from>
    <xdr:to>
      <xdr:col>11</xdr:col>
      <xdr:colOff>0</xdr:colOff>
      <xdr:row>46</xdr:row>
      <xdr:rowOff>11905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ShapeType="1"/>
        </xdr:cNvSpPr>
      </xdr:nvSpPr>
      <xdr:spPr>
        <a:xfrm>
          <a:off x="2736850" y="13502640"/>
          <a:ext cx="684149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2618105" y="275145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14</xdr:row>
      <xdr:rowOff>152399</xdr:rowOff>
    </xdr:from>
    <xdr:to>
      <xdr:col>6</xdr:col>
      <xdr:colOff>128587</xdr:colOff>
      <xdr:row>16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627630" y="4085590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2615565" y="2748915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16</xdr:row>
      <xdr:rowOff>138111</xdr:rowOff>
    </xdr:from>
    <xdr:to>
      <xdr:col>7</xdr:col>
      <xdr:colOff>366712</xdr:colOff>
      <xdr:row>16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2625090" y="4513580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19</xdr:row>
      <xdr:rowOff>92869</xdr:rowOff>
    </xdr:from>
    <xdr:to>
      <xdr:col>20</xdr:col>
      <xdr:colOff>0</xdr:colOff>
      <xdr:row>19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>
        <a:xfrm flipV="1">
          <a:off x="2544445" y="513143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21</xdr:row>
      <xdr:rowOff>102394</xdr:rowOff>
    </xdr:from>
    <xdr:to>
      <xdr:col>20</xdr:col>
      <xdr:colOff>0</xdr:colOff>
      <xdr:row>21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>
        <a:xfrm flipV="1">
          <a:off x="2541905" y="558292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643083</xdr:colOff>
      <xdr:row>8</xdr:row>
      <xdr:rowOff>142877</xdr:rowOff>
    </xdr:from>
    <xdr:to>
      <xdr:col>13</xdr:col>
      <xdr:colOff>77140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7668260" y="275082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16</xdr:row>
      <xdr:rowOff>158748</xdr:rowOff>
    </xdr:from>
    <xdr:to>
      <xdr:col>13</xdr:col>
      <xdr:colOff>93826</xdr:colOff>
      <xdr:row>16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7645400" y="4533900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47</xdr:row>
      <xdr:rowOff>119062</xdr:rowOff>
    </xdr:from>
    <xdr:to>
      <xdr:col>19</xdr:col>
      <xdr:colOff>576264</xdr:colOff>
      <xdr:row>47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ShapeType="1"/>
        </xdr:cNvSpPr>
      </xdr:nvSpPr>
      <xdr:spPr>
        <a:xfrm flipV="1">
          <a:off x="2510790" y="1315466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2618105" y="275145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14</xdr:row>
      <xdr:rowOff>152399</xdr:rowOff>
    </xdr:from>
    <xdr:to>
      <xdr:col>6</xdr:col>
      <xdr:colOff>128587</xdr:colOff>
      <xdr:row>16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2627630" y="4085590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>
          <a:off x="2615565" y="2748915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16</xdr:row>
      <xdr:rowOff>138111</xdr:rowOff>
    </xdr:from>
    <xdr:to>
      <xdr:col>7</xdr:col>
      <xdr:colOff>366712</xdr:colOff>
      <xdr:row>16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2625090" y="4513580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19</xdr:row>
      <xdr:rowOff>92869</xdr:rowOff>
    </xdr:from>
    <xdr:to>
      <xdr:col>20</xdr:col>
      <xdr:colOff>0</xdr:colOff>
      <xdr:row>19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>
        <a:xfrm flipV="1">
          <a:off x="2544445" y="513143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21</xdr:row>
      <xdr:rowOff>102394</xdr:rowOff>
    </xdr:from>
    <xdr:to>
      <xdr:col>20</xdr:col>
      <xdr:colOff>0</xdr:colOff>
      <xdr:row>21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>
        <a:xfrm flipV="1">
          <a:off x="2541905" y="558292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655783</xdr:colOff>
      <xdr:row>8</xdr:row>
      <xdr:rowOff>142877</xdr:rowOff>
    </xdr:from>
    <xdr:to>
      <xdr:col>13</xdr:col>
      <xdr:colOff>89840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>
          <a:off x="7680960" y="275082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16</xdr:row>
      <xdr:rowOff>158748</xdr:rowOff>
    </xdr:from>
    <xdr:to>
      <xdr:col>13</xdr:col>
      <xdr:colOff>93826</xdr:colOff>
      <xdr:row>16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7645400" y="4533900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47</xdr:row>
      <xdr:rowOff>119062</xdr:rowOff>
    </xdr:from>
    <xdr:to>
      <xdr:col>19</xdr:col>
      <xdr:colOff>576264</xdr:colOff>
      <xdr:row>47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>
        <a:xfrm flipV="1">
          <a:off x="2510790" y="1315466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238124</xdr:colOff>
      <xdr:row>51</xdr:row>
      <xdr:rowOff>11904</xdr:rowOff>
    </xdr:from>
    <xdr:to>
      <xdr:col>10</xdr:col>
      <xdr:colOff>23813</xdr:colOff>
      <xdr:row>51</xdr:row>
      <xdr:rowOff>11905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ShapeType="1"/>
        </xdr:cNvSpPr>
      </xdr:nvSpPr>
      <xdr:spPr>
        <a:xfrm>
          <a:off x="2736850" y="13982700"/>
          <a:ext cx="307022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 editAs="oneCell">
    <xdr:from>
      <xdr:col>6</xdr:col>
      <xdr:colOff>119062</xdr:colOff>
      <xdr:row>8</xdr:row>
      <xdr:rowOff>143668</xdr:rowOff>
    </xdr:from>
    <xdr:to>
      <xdr:col>6</xdr:col>
      <xdr:colOff>119062</xdr:colOff>
      <xdr:row>10</xdr:row>
      <xdr:rowOff>143667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2618105" y="275145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128587</xdr:colOff>
      <xdr:row>14</xdr:row>
      <xdr:rowOff>152399</xdr:rowOff>
    </xdr:from>
    <xdr:to>
      <xdr:col>6</xdr:col>
      <xdr:colOff>128587</xdr:colOff>
      <xdr:row>16</xdr:row>
      <xdr:rowOff>140493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2627630" y="4085590"/>
          <a:ext cx="0" cy="430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84931</xdr:colOff>
      <xdr:row>8</xdr:row>
      <xdr:rowOff>142872</xdr:rowOff>
    </xdr:from>
    <xdr:to>
      <xdr:col>13</xdr:col>
      <xdr:colOff>84931</xdr:colOff>
      <xdr:row>10</xdr:row>
      <xdr:rowOff>142871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8199755" y="2750185"/>
          <a:ext cx="0" cy="441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84927</xdr:colOff>
      <xdr:row>14</xdr:row>
      <xdr:rowOff>165892</xdr:rowOff>
    </xdr:from>
    <xdr:to>
      <xdr:col>13</xdr:col>
      <xdr:colOff>84927</xdr:colOff>
      <xdr:row>16</xdr:row>
      <xdr:rowOff>153986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8199755" y="4099560"/>
          <a:ext cx="0" cy="429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116681</xdr:colOff>
      <xdr:row>8</xdr:row>
      <xdr:rowOff>141285</xdr:rowOff>
    </xdr:from>
    <xdr:to>
      <xdr:col>7</xdr:col>
      <xdr:colOff>357187</xdr:colOff>
      <xdr:row>8</xdr:row>
      <xdr:rowOff>141285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2615565" y="2748915"/>
          <a:ext cx="537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126206</xdr:colOff>
      <xdr:row>16</xdr:row>
      <xdr:rowOff>138111</xdr:rowOff>
    </xdr:from>
    <xdr:to>
      <xdr:col>7</xdr:col>
      <xdr:colOff>366712</xdr:colOff>
      <xdr:row>16</xdr:row>
      <xdr:rowOff>140492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2625090" y="4513580"/>
          <a:ext cx="5378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45244</xdr:colOff>
      <xdr:row>19</xdr:row>
      <xdr:rowOff>92869</xdr:rowOff>
    </xdr:from>
    <xdr:to>
      <xdr:col>20</xdr:col>
      <xdr:colOff>0</xdr:colOff>
      <xdr:row>19</xdr:row>
      <xdr:rowOff>92869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>
        <a:xfrm flipV="1">
          <a:off x="2544445" y="513143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21</xdr:row>
      <xdr:rowOff>102394</xdr:rowOff>
    </xdr:from>
    <xdr:to>
      <xdr:col>20</xdr:col>
      <xdr:colOff>0</xdr:colOff>
      <xdr:row>21</xdr:row>
      <xdr:rowOff>102394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>
        <a:xfrm flipV="1">
          <a:off x="2541905" y="558292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643083</xdr:colOff>
      <xdr:row>8</xdr:row>
      <xdr:rowOff>142877</xdr:rowOff>
    </xdr:from>
    <xdr:to>
      <xdr:col>13</xdr:col>
      <xdr:colOff>77140</xdr:colOff>
      <xdr:row>8</xdr:row>
      <xdr:rowOff>142877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/>
      </xdr:nvCxnSpPr>
      <xdr:spPr>
        <a:xfrm>
          <a:off x="7668260" y="275082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620081</xdr:colOff>
      <xdr:row>16</xdr:row>
      <xdr:rowOff>158748</xdr:rowOff>
    </xdr:from>
    <xdr:to>
      <xdr:col>13</xdr:col>
      <xdr:colOff>93826</xdr:colOff>
      <xdr:row>16</xdr:row>
      <xdr:rowOff>161129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>
          <a:off x="7645400" y="4533900"/>
          <a:ext cx="56324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11907</xdr:colOff>
      <xdr:row>47</xdr:row>
      <xdr:rowOff>119062</xdr:rowOff>
    </xdr:from>
    <xdr:to>
      <xdr:col>19</xdr:col>
      <xdr:colOff>576264</xdr:colOff>
      <xdr:row>47</xdr:row>
      <xdr:rowOff>119062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ShapeType="1"/>
        </xdr:cNvSpPr>
      </xdr:nvSpPr>
      <xdr:spPr>
        <a:xfrm flipV="1">
          <a:off x="2510790" y="1315466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45244</xdr:colOff>
      <xdr:row>16</xdr:row>
      <xdr:rowOff>92869</xdr:rowOff>
    </xdr:from>
    <xdr:to>
      <xdr:col>20</xdr:col>
      <xdr:colOff>0</xdr:colOff>
      <xdr:row>16</xdr:row>
      <xdr:rowOff>92869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>
        <a:xfrm flipV="1">
          <a:off x="2544445" y="4493260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18</xdr:row>
      <xdr:rowOff>102394</xdr:rowOff>
    </xdr:from>
    <xdr:to>
      <xdr:col>20</xdr:col>
      <xdr:colOff>0</xdr:colOff>
      <xdr:row>18</xdr:row>
      <xdr:rowOff>102394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ShapeType="1"/>
        </xdr:cNvSpPr>
      </xdr:nvSpPr>
      <xdr:spPr>
        <a:xfrm flipV="1">
          <a:off x="2541905" y="4944745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11907</xdr:colOff>
      <xdr:row>26</xdr:row>
      <xdr:rowOff>119062</xdr:rowOff>
    </xdr:from>
    <xdr:to>
      <xdr:col>19</xdr:col>
      <xdr:colOff>576264</xdr:colOff>
      <xdr:row>26</xdr:row>
      <xdr:rowOff>119062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>
        <a:xfrm flipV="1">
          <a:off x="2510790" y="7235825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17</xdr:col>
      <xdr:colOff>111125</xdr:colOff>
      <xdr:row>16</xdr:row>
      <xdr:rowOff>111125</xdr:rowOff>
    </xdr:from>
    <xdr:to>
      <xdr:col>17</xdr:col>
      <xdr:colOff>111125</xdr:colOff>
      <xdr:row>18</xdr:row>
      <xdr:rowOff>79375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>
        <a:xfrm>
          <a:off x="11205845" y="4511675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129381</xdr:colOff>
      <xdr:row>8</xdr:row>
      <xdr:rowOff>81758</xdr:rowOff>
    </xdr:from>
    <xdr:to>
      <xdr:col>6</xdr:col>
      <xdr:colOff>129381</xdr:colOff>
      <xdr:row>10</xdr:row>
      <xdr:rowOff>192882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>
          <a:off x="2628265" y="2689225"/>
          <a:ext cx="0" cy="4749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138906</xdr:colOff>
      <xdr:row>14</xdr:row>
      <xdr:rowOff>42864</xdr:rowOff>
    </xdr:from>
    <xdr:to>
      <xdr:col>6</xdr:col>
      <xdr:colOff>138906</xdr:colOff>
      <xdr:row>15</xdr:row>
      <xdr:rowOff>253208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>
          <a:off x="2637790" y="3898265"/>
          <a:ext cx="0" cy="4311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95250</xdr:colOff>
      <xdr:row>8</xdr:row>
      <xdr:rowOff>80962</xdr:rowOff>
    </xdr:from>
    <xdr:to>
      <xdr:col>13</xdr:col>
      <xdr:colOff>95250</xdr:colOff>
      <xdr:row>10</xdr:row>
      <xdr:rowOff>192086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>
        <a:xfrm>
          <a:off x="8210550" y="2688590"/>
          <a:ext cx="0" cy="4749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95246</xdr:colOff>
      <xdr:row>14</xdr:row>
      <xdr:rowOff>56357</xdr:rowOff>
    </xdr:from>
    <xdr:to>
      <xdr:col>13</xdr:col>
      <xdr:colOff>95246</xdr:colOff>
      <xdr:row>15</xdr:row>
      <xdr:rowOff>266701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8209915" y="3911600"/>
          <a:ext cx="0" cy="43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127000</xdr:colOff>
      <xdr:row>8</xdr:row>
      <xdr:rowOff>79375</xdr:rowOff>
    </xdr:from>
    <xdr:to>
      <xdr:col>7</xdr:col>
      <xdr:colOff>367506</xdr:colOff>
      <xdr:row>8</xdr:row>
      <xdr:rowOff>79375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2626360" y="2687320"/>
          <a:ext cx="5372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136525</xdr:colOff>
      <xdr:row>15</xdr:row>
      <xdr:rowOff>250826</xdr:rowOff>
    </xdr:from>
    <xdr:to>
      <xdr:col>7</xdr:col>
      <xdr:colOff>377031</xdr:colOff>
      <xdr:row>15</xdr:row>
      <xdr:rowOff>253207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/>
      </xdr:nvCxnSpPr>
      <xdr:spPr>
        <a:xfrm>
          <a:off x="2635885" y="4327525"/>
          <a:ext cx="53721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658482</xdr:colOff>
      <xdr:row>8</xdr:row>
      <xdr:rowOff>80967</xdr:rowOff>
    </xdr:from>
    <xdr:to>
      <xdr:col>13</xdr:col>
      <xdr:colOff>92539</xdr:colOff>
      <xdr:row>8</xdr:row>
      <xdr:rowOff>80967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/>
      </xdr:nvCxnSpPr>
      <xdr:spPr>
        <a:xfrm>
          <a:off x="7683500" y="268859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622780</xdr:colOff>
      <xdr:row>15</xdr:row>
      <xdr:rowOff>271463</xdr:rowOff>
    </xdr:from>
    <xdr:to>
      <xdr:col>13</xdr:col>
      <xdr:colOff>96525</xdr:colOff>
      <xdr:row>15</xdr:row>
      <xdr:rowOff>273844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CxnSpPr/>
      </xdr:nvCxnSpPr>
      <xdr:spPr>
        <a:xfrm>
          <a:off x="7647940" y="4347845"/>
          <a:ext cx="56388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492125</xdr:colOff>
      <xdr:row>16</xdr:row>
      <xdr:rowOff>127000</xdr:rowOff>
    </xdr:from>
    <xdr:to>
      <xdr:col>15</xdr:col>
      <xdr:colOff>492125</xdr:colOff>
      <xdr:row>18</xdr:row>
      <xdr:rowOff>95250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/>
      </xdr:nvCxnSpPr>
      <xdr:spPr>
        <a:xfrm>
          <a:off x="10100945" y="4527550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88900</xdr:colOff>
      <xdr:row>16</xdr:row>
      <xdr:rowOff>120650</xdr:rowOff>
    </xdr:from>
    <xdr:to>
      <xdr:col>14</xdr:col>
      <xdr:colOff>88900</xdr:colOff>
      <xdr:row>18</xdr:row>
      <xdr:rowOff>88900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9057640" y="4521200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66675</xdr:colOff>
      <xdr:row>16</xdr:row>
      <xdr:rowOff>130175</xdr:rowOff>
    </xdr:from>
    <xdr:to>
      <xdr:col>13</xdr:col>
      <xdr:colOff>66675</xdr:colOff>
      <xdr:row>18</xdr:row>
      <xdr:rowOff>98425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8181975" y="4530725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45244</xdr:colOff>
      <xdr:row>16</xdr:row>
      <xdr:rowOff>92869</xdr:rowOff>
    </xdr:from>
    <xdr:to>
      <xdr:col>20</xdr:col>
      <xdr:colOff>0</xdr:colOff>
      <xdr:row>16</xdr:row>
      <xdr:rowOff>92869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>
        <a:xfrm flipV="1">
          <a:off x="2544445" y="4493260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18</xdr:row>
      <xdr:rowOff>102394</xdr:rowOff>
    </xdr:from>
    <xdr:to>
      <xdr:col>20</xdr:col>
      <xdr:colOff>0</xdr:colOff>
      <xdr:row>18</xdr:row>
      <xdr:rowOff>102394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>
        <a:xfrm flipV="1">
          <a:off x="2541905" y="4944745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11907</xdr:colOff>
      <xdr:row>26</xdr:row>
      <xdr:rowOff>119062</xdr:rowOff>
    </xdr:from>
    <xdr:to>
      <xdr:col>19</xdr:col>
      <xdr:colOff>576264</xdr:colOff>
      <xdr:row>26</xdr:row>
      <xdr:rowOff>119062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>
        <a:xfrm flipV="1">
          <a:off x="2510790" y="7235825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17</xdr:col>
      <xdr:colOff>111125</xdr:colOff>
      <xdr:row>16</xdr:row>
      <xdr:rowOff>111125</xdr:rowOff>
    </xdr:from>
    <xdr:to>
      <xdr:col>17</xdr:col>
      <xdr:colOff>111125</xdr:colOff>
      <xdr:row>18</xdr:row>
      <xdr:rowOff>79375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>
        <a:xfrm>
          <a:off x="11205845" y="4511675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129381</xdr:colOff>
      <xdr:row>8</xdr:row>
      <xdr:rowOff>81758</xdr:rowOff>
    </xdr:from>
    <xdr:to>
      <xdr:col>6</xdr:col>
      <xdr:colOff>129381</xdr:colOff>
      <xdr:row>10</xdr:row>
      <xdr:rowOff>192882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/>
      </xdr:nvCxnSpPr>
      <xdr:spPr>
        <a:xfrm>
          <a:off x="2628265" y="2689225"/>
          <a:ext cx="0" cy="4749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138906</xdr:colOff>
      <xdr:row>14</xdr:row>
      <xdr:rowOff>42864</xdr:rowOff>
    </xdr:from>
    <xdr:to>
      <xdr:col>6</xdr:col>
      <xdr:colOff>138906</xdr:colOff>
      <xdr:row>15</xdr:row>
      <xdr:rowOff>253208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CxnSpPr/>
      </xdr:nvCxnSpPr>
      <xdr:spPr>
        <a:xfrm>
          <a:off x="2637790" y="3898265"/>
          <a:ext cx="0" cy="4311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95250</xdr:colOff>
      <xdr:row>8</xdr:row>
      <xdr:rowOff>80962</xdr:rowOff>
    </xdr:from>
    <xdr:to>
      <xdr:col>13</xdr:col>
      <xdr:colOff>95250</xdr:colOff>
      <xdr:row>10</xdr:row>
      <xdr:rowOff>192086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CxnSpPr/>
      </xdr:nvCxnSpPr>
      <xdr:spPr>
        <a:xfrm>
          <a:off x="8210550" y="2688590"/>
          <a:ext cx="0" cy="4749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95246</xdr:colOff>
      <xdr:row>14</xdr:row>
      <xdr:rowOff>56357</xdr:rowOff>
    </xdr:from>
    <xdr:to>
      <xdr:col>13</xdr:col>
      <xdr:colOff>95246</xdr:colOff>
      <xdr:row>15</xdr:row>
      <xdr:rowOff>266701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/>
      </xdr:nvCxnSpPr>
      <xdr:spPr>
        <a:xfrm>
          <a:off x="8209915" y="3911600"/>
          <a:ext cx="0" cy="431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127000</xdr:colOff>
      <xdr:row>8</xdr:row>
      <xdr:rowOff>79375</xdr:rowOff>
    </xdr:from>
    <xdr:to>
      <xdr:col>7</xdr:col>
      <xdr:colOff>367506</xdr:colOff>
      <xdr:row>8</xdr:row>
      <xdr:rowOff>79375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CxnSpPr/>
      </xdr:nvCxnSpPr>
      <xdr:spPr>
        <a:xfrm>
          <a:off x="2626360" y="2687320"/>
          <a:ext cx="5372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136525</xdr:colOff>
      <xdr:row>15</xdr:row>
      <xdr:rowOff>250826</xdr:rowOff>
    </xdr:from>
    <xdr:to>
      <xdr:col>7</xdr:col>
      <xdr:colOff>377031</xdr:colOff>
      <xdr:row>15</xdr:row>
      <xdr:rowOff>253207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CxnSpPr/>
      </xdr:nvCxnSpPr>
      <xdr:spPr>
        <a:xfrm>
          <a:off x="2635885" y="4327525"/>
          <a:ext cx="53721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658482</xdr:colOff>
      <xdr:row>8</xdr:row>
      <xdr:rowOff>93667</xdr:rowOff>
    </xdr:from>
    <xdr:to>
      <xdr:col>13</xdr:col>
      <xdr:colOff>92539</xdr:colOff>
      <xdr:row>8</xdr:row>
      <xdr:rowOff>93667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CxnSpPr/>
      </xdr:nvCxnSpPr>
      <xdr:spPr>
        <a:xfrm>
          <a:off x="7683500" y="270129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622780</xdr:colOff>
      <xdr:row>15</xdr:row>
      <xdr:rowOff>271463</xdr:rowOff>
    </xdr:from>
    <xdr:to>
      <xdr:col>13</xdr:col>
      <xdr:colOff>96525</xdr:colOff>
      <xdr:row>15</xdr:row>
      <xdr:rowOff>273844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CxnSpPr/>
      </xdr:nvCxnSpPr>
      <xdr:spPr>
        <a:xfrm>
          <a:off x="7647940" y="4347845"/>
          <a:ext cx="56388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492125</xdr:colOff>
      <xdr:row>16</xdr:row>
      <xdr:rowOff>127000</xdr:rowOff>
    </xdr:from>
    <xdr:to>
      <xdr:col>15</xdr:col>
      <xdr:colOff>492125</xdr:colOff>
      <xdr:row>18</xdr:row>
      <xdr:rowOff>95250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CxnSpPr/>
      </xdr:nvCxnSpPr>
      <xdr:spPr>
        <a:xfrm>
          <a:off x="10100945" y="4527550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88900</xdr:colOff>
      <xdr:row>16</xdr:row>
      <xdr:rowOff>120650</xdr:rowOff>
    </xdr:from>
    <xdr:to>
      <xdr:col>14</xdr:col>
      <xdr:colOff>88900</xdr:colOff>
      <xdr:row>18</xdr:row>
      <xdr:rowOff>88900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CxnSpPr/>
      </xdr:nvCxnSpPr>
      <xdr:spPr>
        <a:xfrm>
          <a:off x="9057640" y="4521200"/>
          <a:ext cx="0" cy="4102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45244</xdr:colOff>
      <xdr:row>15</xdr:row>
      <xdr:rowOff>92869</xdr:rowOff>
    </xdr:from>
    <xdr:to>
      <xdr:col>20</xdr:col>
      <xdr:colOff>0</xdr:colOff>
      <xdr:row>15</xdr:row>
      <xdr:rowOff>92869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>
        <a:xfrm flipV="1">
          <a:off x="2544445" y="424751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17</xdr:row>
      <xdr:rowOff>102394</xdr:rowOff>
    </xdr:from>
    <xdr:to>
      <xdr:col>20</xdr:col>
      <xdr:colOff>0</xdr:colOff>
      <xdr:row>17</xdr:row>
      <xdr:rowOff>102394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>
        <a:xfrm flipV="1">
          <a:off x="2541905" y="469900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11907</xdr:colOff>
      <xdr:row>25</xdr:row>
      <xdr:rowOff>119062</xdr:rowOff>
    </xdr:from>
    <xdr:to>
      <xdr:col>19</xdr:col>
      <xdr:colOff>576264</xdr:colOff>
      <xdr:row>25</xdr:row>
      <xdr:rowOff>119062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>
        <a:xfrm flipV="1">
          <a:off x="2510790" y="699008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16</xdr:col>
      <xdr:colOff>533400</xdr:colOff>
      <xdr:row>15</xdr:row>
      <xdr:rowOff>95250</xdr:rowOff>
    </xdr:from>
    <xdr:to>
      <xdr:col>16</xdr:col>
      <xdr:colOff>539750</xdr:colOff>
      <xdr:row>17</xdr:row>
      <xdr:rowOff>88900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CxnSpPr/>
      </xdr:nvCxnSpPr>
      <xdr:spPr>
        <a:xfrm flipH="1">
          <a:off x="10713720" y="4250055"/>
          <a:ext cx="6350" cy="4356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7</xdr:row>
      <xdr:rowOff>368300</xdr:rowOff>
    </xdr:from>
    <xdr:to>
      <xdr:col>14</xdr:col>
      <xdr:colOff>76200</xdr:colOff>
      <xdr:row>7</xdr:row>
      <xdr:rowOff>368300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/>
      </xdr:nvCxnSpPr>
      <xdr:spPr>
        <a:xfrm>
          <a:off x="6873240" y="2585720"/>
          <a:ext cx="2171700" cy="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6</xdr:row>
      <xdr:rowOff>146844</xdr:rowOff>
    </xdr:from>
    <xdr:to>
      <xdr:col>19</xdr:col>
      <xdr:colOff>596900</xdr:colOff>
      <xdr:row>6</xdr:row>
      <xdr:rowOff>146844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>
        <a:xfrm flipV="1">
          <a:off x="2521585" y="2173605"/>
          <a:ext cx="10904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LocksWithSheet="0"/>
  </xdr:twoCellAnchor>
  <xdr:twoCellAnchor>
    <xdr:from>
      <xdr:col>6</xdr:col>
      <xdr:colOff>45244</xdr:colOff>
      <xdr:row>15</xdr:row>
      <xdr:rowOff>92869</xdr:rowOff>
    </xdr:from>
    <xdr:to>
      <xdr:col>20</xdr:col>
      <xdr:colOff>0</xdr:colOff>
      <xdr:row>15</xdr:row>
      <xdr:rowOff>92869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>
        <a:xfrm flipV="1">
          <a:off x="2544445" y="4247515"/>
          <a:ext cx="108819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42862</xdr:colOff>
      <xdr:row>17</xdr:row>
      <xdr:rowOff>102394</xdr:rowOff>
    </xdr:from>
    <xdr:to>
      <xdr:col>20</xdr:col>
      <xdr:colOff>0</xdr:colOff>
      <xdr:row>17</xdr:row>
      <xdr:rowOff>102394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>
        <a:xfrm flipV="1">
          <a:off x="2541905" y="4699000"/>
          <a:ext cx="1088453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11907</xdr:colOff>
      <xdr:row>25</xdr:row>
      <xdr:rowOff>119062</xdr:rowOff>
    </xdr:from>
    <xdr:to>
      <xdr:col>19</xdr:col>
      <xdr:colOff>576264</xdr:colOff>
      <xdr:row>25</xdr:row>
      <xdr:rowOff>119062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>
        <a:xfrm flipV="1">
          <a:off x="2510790" y="6990080"/>
          <a:ext cx="109156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 editAs="oneCell">
    <xdr:from>
      <xdr:col>16</xdr:col>
      <xdr:colOff>539750</xdr:colOff>
      <xdr:row>15</xdr:row>
      <xdr:rowOff>95250</xdr:rowOff>
    </xdr:from>
    <xdr:to>
      <xdr:col>16</xdr:col>
      <xdr:colOff>539750</xdr:colOff>
      <xdr:row>17</xdr:row>
      <xdr:rowOff>79375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/>
      </xdr:nvCxnSpPr>
      <xdr:spPr>
        <a:xfrm>
          <a:off x="10720070" y="4250055"/>
          <a:ext cx="0" cy="4260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165100</xdr:colOff>
      <xdr:row>7</xdr:row>
      <xdr:rowOff>342900</xdr:rowOff>
    </xdr:from>
    <xdr:to>
      <xdr:col>14</xdr:col>
      <xdr:colOff>203200</xdr:colOff>
      <xdr:row>7</xdr:row>
      <xdr:rowOff>342900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CxnSpPr/>
      </xdr:nvCxnSpPr>
      <xdr:spPr>
        <a:xfrm>
          <a:off x="6733540" y="2560320"/>
          <a:ext cx="2438400" cy="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  <xdr:twoCellAnchor>
    <xdr:from>
      <xdr:col>8</xdr:col>
      <xdr:colOff>1654969</xdr:colOff>
      <xdr:row>5</xdr:row>
      <xdr:rowOff>27782</xdr:rowOff>
    </xdr:from>
    <xdr:to>
      <xdr:col>8</xdr:col>
      <xdr:colOff>2445544</xdr:colOff>
      <xdr:row>5</xdr:row>
      <xdr:rowOff>275432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 txBox="1"/>
      </xdr:nvSpPr>
      <xdr:spPr>
        <a:xfrm>
          <a:off x="4754880" y="1795145"/>
          <a:ext cx="0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300">
              <a:latin typeface="Lao UI" panose="020B0502040204020203" pitchFamily="34" charset="0"/>
              <a:cs typeface="Lao UI" panose="020B0502040204020203" pitchFamily="34" charset="0"/>
            </a:rPr>
            <a:t>Phone: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yroll%20Template\OneAccount\For%20Sale\SME_Simple%20Billing\SME_Simple%20Billing%20v1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Quotation"/>
      <sheetName val="Sales Order"/>
      <sheetName val="Invoice"/>
      <sheetName val="DO"/>
      <sheetName val="Cash Bill"/>
      <sheetName val="OR"/>
      <sheetName val="CN"/>
      <sheetName val="DN"/>
      <sheetName val="Customer Profile"/>
      <sheetName val="PO"/>
      <sheetName val="PV"/>
      <sheetName val="Supplier Profile"/>
      <sheetName val="SME_Simple Billing v1 - Copy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atozaccoun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adm.atoz2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atozaccount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adm.atoz22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adm.atoz22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mailto:adm.atoz22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adm.atoz22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adm.atoz22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mailto:adm.atoz22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adm.atoz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S35"/>
  <sheetViews>
    <sheetView tabSelected="1" zoomScale="60" zoomScaleNormal="60" workbookViewId="0">
      <selection activeCell="X15" sqref="X15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16384" width="9.109375" style="1"/>
  </cols>
  <sheetData>
    <row r="1" spans="2:19" ht="53.4" customHeight="1">
      <c r="G1" s="99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2:19" ht="34.200000000000003">
      <c r="G2" s="60"/>
      <c r="H2" s="60"/>
      <c r="I2" s="100" t="s">
        <v>1</v>
      </c>
      <c r="J2" s="100"/>
      <c r="K2" s="100"/>
      <c r="L2" s="100"/>
      <c r="M2" s="100"/>
      <c r="N2" s="100"/>
      <c r="O2" s="100"/>
      <c r="P2" s="100"/>
      <c r="Q2" s="100"/>
      <c r="R2" s="60"/>
      <c r="S2" s="60"/>
    </row>
    <row r="3" spans="2:19" ht="24.6">
      <c r="G3" s="3"/>
      <c r="H3" s="3"/>
      <c r="I3" s="89"/>
      <c r="J3" s="101" t="s">
        <v>2</v>
      </c>
      <c r="K3" s="101"/>
      <c r="L3" s="101"/>
      <c r="M3" s="101"/>
      <c r="N3" s="101"/>
      <c r="O3" s="101"/>
      <c r="P3" s="3"/>
      <c r="Q3" s="3"/>
      <c r="R3" s="3"/>
      <c r="S3" s="3"/>
    </row>
    <row r="4" spans="2:19" ht="24.6">
      <c r="G4" s="3"/>
      <c r="H4" s="3"/>
      <c r="I4" s="90"/>
      <c r="J4" s="91" t="s">
        <v>3</v>
      </c>
      <c r="K4" s="92"/>
      <c r="L4" s="92"/>
      <c r="M4" s="92"/>
      <c r="N4" s="92"/>
      <c r="O4" s="92"/>
      <c r="P4" s="3"/>
      <c r="Q4" s="3"/>
      <c r="R4" s="3"/>
      <c r="S4" s="3"/>
    </row>
    <row r="5" spans="2:19" ht="8.4" customHeight="1"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21.6" customHeight="1">
      <c r="G6" s="4"/>
      <c r="H6" s="42"/>
      <c r="I6" s="4"/>
      <c r="J6" s="4"/>
      <c r="K6" s="4"/>
      <c r="L6" s="4"/>
      <c r="M6" s="4"/>
      <c r="N6" s="4"/>
      <c r="O6" s="42"/>
      <c r="P6" s="45" t="s">
        <v>4</v>
      </c>
      <c r="Q6" s="48"/>
      <c r="R6" s="49"/>
      <c r="S6" s="4"/>
    </row>
    <row r="7" spans="2:19" ht="13.2" customHeight="1">
      <c r="G7" s="5"/>
      <c r="H7" s="6"/>
      <c r="I7" s="5"/>
      <c r="J7" s="5"/>
      <c r="K7" s="5"/>
      <c r="L7" s="5"/>
      <c r="M7" s="5"/>
      <c r="N7" s="5"/>
      <c r="O7" s="6"/>
      <c r="P7" s="25"/>
      <c r="Q7" s="25"/>
      <c r="R7" s="32"/>
      <c r="S7" s="5"/>
    </row>
    <row r="8" spans="2:19" ht="20.399999999999999">
      <c r="E8" s="7" t="s">
        <v>5</v>
      </c>
      <c r="F8" s="8" t="str">
        <f>IFERROR(MATCH(H8,Cust_ddown,0)+4,"")</f>
        <v/>
      </c>
      <c r="G8" s="5"/>
      <c r="H8" s="102" t="s">
        <v>6</v>
      </c>
      <c r="I8" s="102"/>
      <c r="J8" s="102"/>
      <c r="K8" s="102"/>
      <c r="L8" s="102"/>
      <c r="M8" s="102"/>
      <c r="N8" s="5"/>
      <c r="O8" s="26"/>
      <c r="P8" s="27" t="s">
        <v>7</v>
      </c>
      <c r="Q8" s="102" t="s">
        <v>8</v>
      </c>
      <c r="R8" s="102"/>
      <c r="S8" s="5"/>
    </row>
    <row r="9" spans="2:19" ht="20.399999999999999">
      <c r="B9" s="88"/>
      <c r="G9" s="5"/>
      <c r="H9" s="102" t="s">
        <v>9</v>
      </c>
      <c r="I9" s="102"/>
      <c r="J9" s="102"/>
      <c r="K9" s="102"/>
      <c r="L9" s="102"/>
      <c r="M9" s="102"/>
      <c r="N9" s="5"/>
      <c r="O9" s="26"/>
      <c r="P9" s="27" t="s">
        <v>10</v>
      </c>
      <c r="Q9" s="103">
        <v>45337</v>
      </c>
      <c r="R9" s="103"/>
      <c r="S9" s="5"/>
    </row>
    <row r="10" spans="2:19" ht="20.399999999999999">
      <c r="G10" s="5"/>
      <c r="H10" s="104" t="s">
        <v>11</v>
      </c>
      <c r="I10" s="104"/>
      <c r="J10" s="104"/>
      <c r="K10" s="104"/>
      <c r="L10" s="104"/>
      <c r="M10" s="104"/>
      <c r="N10" s="5"/>
      <c r="O10" s="26"/>
      <c r="P10" s="27" t="s">
        <v>12</v>
      </c>
      <c r="Q10" s="6" t="s">
        <v>13</v>
      </c>
      <c r="R10" s="5"/>
      <c r="S10" s="26"/>
    </row>
    <row r="11" spans="2:19" ht="20.399999999999999">
      <c r="G11" s="5"/>
      <c r="H11" s="6" t="s">
        <v>14</v>
      </c>
      <c r="I11" s="105" t="s">
        <v>15</v>
      </c>
      <c r="J11" s="105"/>
      <c r="K11" s="105"/>
      <c r="L11" s="105"/>
      <c r="M11" s="105"/>
      <c r="N11" s="5"/>
      <c r="O11" s="26"/>
      <c r="P11" s="27" t="s">
        <v>16</v>
      </c>
      <c r="Q11" s="6" t="s">
        <v>17</v>
      </c>
      <c r="R11" s="27"/>
      <c r="S11" s="5"/>
    </row>
    <row r="12" spans="2:19" ht="20.399999999999999">
      <c r="G12" s="5"/>
      <c r="H12" s="5" t="s">
        <v>18</v>
      </c>
      <c r="I12" s="5" t="s">
        <v>19</v>
      </c>
      <c r="J12" s="5"/>
      <c r="K12" s="27" t="s">
        <v>20</v>
      </c>
      <c r="L12" s="106"/>
      <c r="M12" s="106"/>
      <c r="N12" s="5"/>
      <c r="O12" s="26"/>
      <c r="P12" s="27"/>
      <c r="Q12" s="27"/>
      <c r="R12" s="27"/>
      <c r="S12" s="5"/>
    </row>
    <row r="13" spans="2:19" ht="20.399999999999999">
      <c r="G13" s="38"/>
      <c r="H13" s="5"/>
      <c r="I13" s="5"/>
      <c r="J13" s="5"/>
      <c r="K13" s="6"/>
      <c r="L13" s="6"/>
      <c r="M13" s="6"/>
      <c r="N13" s="5"/>
      <c r="O13" s="6"/>
      <c r="P13" s="5"/>
      <c r="Q13" s="5"/>
      <c r="R13" s="5"/>
      <c r="S13" s="38"/>
    </row>
    <row r="14" spans="2:19" ht="8.4" customHeight="1">
      <c r="G14" s="5"/>
      <c r="H14" s="6"/>
      <c r="I14" s="5"/>
      <c r="J14" s="5"/>
      <c r="K14" s="6"/>
      <c r="L14" s="6"/>
      <c r="M14" s="6"/>
      <c r="N14" s="6"/>
      <c r="O14" s="5"/>
      <c r="P14" s="5"/>
      <c r="Q14" s="5"/>
      <c r="R14" s="5"/>
      <c r="S14" s="5"/>
    </row>
    <row r="15" spans="2:19" ht="15.6" customHeight="1">
      <c r="G15" s="5"/>
      <c r="H15" s="10" t="s">
        <v>21</v>
      </c>
      <c r="I15" s="6" t="s">
        <v>22</v>
      </c>
      <c r="J15" s="6"/>
      <c r="K15" s="6"/>
      <c r="L15" s="6"/>
      <c r="M15" s="6"/>
      <c r="N15" s="6"/>
      <c r="O15" s="6" t="s">
        <v>23</v>
      </c>
      <c r="P15" s="6" t="s">
        <v>24</v>
      </c>
      <c r="Q15" s="6" t="s">
        <v>25</v>
      </c>
      <c r="R15" s="5" t="s">
        <v>26</v>
      </c>
      <c r="S15" s="5" t="s">
        <v>27</v>
      </c>
    </row>
    <row r="16" spans="2:19" ht="12.6" customHeight="1">
      <c r="G16" s="5"/>
      <c r="H16" s="10"/>
      <c r="I16" s="5"/>
      <c r="J16" s="5"/>
      <c r="K16" s="6"/>
      <c r="L16" s="6"/>
      <c r="M16" s="6"/>
      <c r="N16" s="6"/>
      <c r="O16" s="6"/>
      <c r="P16" s="27"/>
      <c r="Q16" s="27"/>
      <c r="R16" s="5"/>
      <c r="S16" s="5"/>
    </row>
    <row r="17" spans="5:19" ht="23.1" customHeight="1">
      <c r="E17" s="7"/>
      <c r="F17" s="8" t="str">
        <f>IFERROR(MATCH(I17,Prod_ddown,0)+4,"")</f>
        <v/>
      </c>
      <c r="G17" s="5"/>
      <c r="H17" s="37">
        <v>1</v>
      </c>
      <c r="I17" s="108" t="s">
        <v>28</v>
      </c>
      <c r="J17" s="108"/>
      <c r="K17" s="108"/>
      <c r="L17" s="108"/>
      <c r="M17" s="108"/>
      <c r="N17" s="108"/>
      <c r="O17" s="46">
        <v>1</v>
      </c>
      <c r="P17" s="11" t="s">
        <v>29</v>
      </c>
      <c r="Q17" s="34">
        <v>270</v>
      </c>
      <c r="R17" s="50">
        <v>0</v>
      </c>
      <c r="S17" s="50">
        <f>(O17*Q17)-R17</f>
        <v>270</v>
      </c>
    </row>
    <row r="18" spans="5:19" ht="23.1" customHeight="1">
      <c r="F18" s="8" t="str">
        <f>IFERROR(MATCH(I18,Prod_ddown,0)+4,"")</f>
        <v/>
      </c>
      <c r="G18" s="5"/>
      <c r="H18" s="37">
        <v>2</v>
      </c>
      <c r="I18" s="108" t="s">
        <v>30</v>
      </c>
      <c r="J18" s="108"/>
      <c r="K18" s="108"/>
      <c r="L18" s="108"/>
      <c r="M18" s="108"/>
      <c r="N18" s="108"/>
      <c r="O18" s="46">
        <v>1</v>
      </c>
      <c r="P18" s="11" t="s">
        <v>29</v>
      </c>
      <c r="Q18" s="34">
        <v>130</v>
      </c>
      <c r="R18" s="50"/>
      <c r="S18" s="50">
        <f t="shared" ref="S18:S21" si="0">(O18*Q18)-R18</f>
        <v>130</v>
      </c>
    </row>
    <row r="19" spans="5:19" ht="23.1" customHeight="1">
      <c r="G19" s="5"/>
      <c r="H19" s="37">
        <v>3</v>
      </c>
      <c r="I19" s="108" t="s">
        <v>31</v>
      </c>
      <c r="J19" s="108"/>
      <c r="K19" s="108"/>
      <c r="L19" s="108"/>
      <c r="M19" s="108"/>
      <c r="N19" s="108"/>
      <c r="O19" s="46">
        <v>1</v>
      </c>
      <c r="P19" s="11" t="s">
        <v>29</v>
      </c>
      <c r="Q19" s="34">
        <v>150</v>
      </c>
      <c r="R19" s="50"/>
      <c r="S19" s="50">
        <f t="shared" si="0"/>
        <v>150</v>
      </c>
    </row>
    <row r="20" spans="5:19" ht="23.1" customHeight="1">
      <c r="G20" s="5"/>
      <c r="H20" s="10">
        <v>4</v>
      </c>
      <c r="I20" s="108" t="s">
        <v>32</v>
      </c>
      <c r="J20" s="108"/>
      <c r="K20" s="108"/>
      <c r="L20" s="108"/>
      <c r="M20" s="108"/>
      <c r="N20" s="28"/>
      <c r="O20" s="37">
        <v>1</v>
      </c>
      <c r="P20" s="11" t="s">
        <v>29</v>
      </c>
      <c r="Q20" s="93">
        <v>130</v>
      </c>
      <c r="R20" s="28"/>
      <c r="S20" s="94">
        <f t="shared" si="0"/>
        <v>130</v>
      </c>
    </row>
    <row r="21" spans="5:19" ht="23.1" customHeight="1">
      <c r="G21" s="5"/>
      <c r="H21" s="10">
        <v>5</v>
      </c>
      <c r="I21" s="28" t="s">
        <v>33</v>
      </c>
      <c r="J21" s="28"/>
      <c r="K21" s="28"/>
      <c r="L21" s="28"/>
      <c r="M21" s="28"/>
      <c r="N21" s="28"/>
      <c r="O21" s="37">
        <v>1</v>
      </c>
      <c r="P21" s="11" t="s">
        <v>29</v>
      </c>
      <c r="Q21" s="93">
        <v>850</v>
      </c>
      <c r="R21" s="28"/>
      <c r="S21" s="94">
        <f t="shared" si="0"/>
        <v>850</v>
      </c>
    </row>
    <row r="22" spans="5:19" ht="15" customHeight="1">
      <c r="G22" s="5"/>
      <c r="H22" s="5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5:19" ht="20.100000000000001" customHeight="1">
      <c r="G23" s="5"/>
      <c r="H23" s="12" t="s">
        <v>34</v>
      </c>
      <c r="I23" s="28" t="s">
        <v>35</v>
      </c>
      <c r="J23" s="28"/>
      <c r="K23" s="28"/>
      <c r="L23" s="28"/>
      <c r="M23" s="28"/>
      <c r="N23" s="28"/>
      <c r="O23" s="28"/>
      <c r="P23" s="28"/>
      <c r="Q23" s="28"/>
      <c r="R23" s="12" t="s">
        <v>36</v>
      </c>
      <c r="S23" s="51">
        <f>SUM(S17:S21)</f>
        <v>1530</v>
      </c>
    </row>
    <row r="24" spans="5:19" ht="6.75" customHeight="1">
      <c r="G24" s="13"/>
      <c r="H24" s="5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5:19" ht="19.5" customHeight="1">
      <c r="G25" s="109" t="s">
        <v>37</v>
      </c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</row>
    <row r="26" spans="5:19" ht="10.199999999999999" customHeight="1"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</row>
    <row r="27" spans="5:19" ht="20.399999999999999">
      <c r="G27" s="26"/>
      <c r="H27" s="5" t="s">
        <v>38</v>
      </c>
      <c r="I27" s="5"/>
      <c r="J27" s="5"/>
      <c r="K27" s="5"/>
      <c r="L27" s="5"/>
      <c r="M27" s="5"/>
      <c r="N27" s="5"/>
      <c r="O27" s="5" t="s">
        <v>39</v>
      </c>
      <c r="P27" s="38"/>
      <c r="Q27" s="38"/>
      <c r="R27" s="38"/>
      <c r="S27" s="38"/>
    </row>
    <row r="28" spans="5:19" ht="20.399999999999999">
      <c r="G28" s="2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5:19" ht="20.399999999999999">
      <c r="G29" s="2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5:19" ht="20.399999999999999">
      <c r="G30" s="26"/>
      <c r="H30" s="5"/>
      <c r="I30" s="5"/>
      <c r="J30" s="5"/>
      <c r="K30" s="107" t="s">
        <v>40</v>
      </c>
      <c r="L30" s="107"/>
      <c r="M30" s="5"/>
      <c r="N30" s="5"/>
      <c r="O30" s="5"/>
      <c r="P30" s="5"/>
      <c r="Q30" s="5"/>
      <c r="R30" s="5"/>
      <c r="S30" s="5"/>
    </row>
    <row r="31" spans="5:19" ht="20.399999999999999">
      <c r="G31" s="16"/>
      <c r="H31" s="44"/>
      <c r="I31" s="44"/>
      <c r="J31" s="44"/>
      <c r="K31" s="107">
        <v>60173123415</v>
      </c>
      <c r="L31" s="107"/>
      <c r="M31" s="44"/>
      <c r="N31" s="17"/>
      <c r="O31" s="44"/>
      <c r="P31" s="44"/>
      <c r="Q31" s="44"/>
      <c r="R31" s="44"/>
      <c r="S31" s="44"/>
    </row>
    <row r="32" spans="5:19" ht="12.6" customHeight="1">
      <c r="G32" s="16"/>
      <c r="H32" s="17" t="s">
        <v>41</v>
      </c>
      <c r="I32" s="17"/>
      <c r="J32" s="17"/>
      <c r="K32" s="17"/>
      <c r="L32" s="17"/>
      <c r="M32" s="17"/>
      <c r="N32" s="17"/>
      <c r="O32" s="95" t="s">
        <v>42</v>
      </c>
      <c r="P32" s="17"/>
      <c r="Q32" s="17"/>
      <c r="R32" s="17"/>
      <c r="S32" s="17"/>
    </row>
    <row r="33" spans="7:19" ht="19.8">
      <c r="G33" s="16"/>
      <c r="H33" s="31" t="s">
        <v>43</v>
      </c>
      <c r="I33" s="47"/>
      <c r="J33" s="47"/>
      <c r="K33" s="47"/>
      <c r="L33" s="47"/>
      <c r="M33" s="47"/>
      <c r="N33" s="17"/>
      <c r="O33" s="31" t="s">
        <v>44</v>
      </c>
      <c r="P33" s="31"/>
      <c r="Q33" s="31"/>
      <c r="R33" s="31"/>
      <c r="S33" s="31"/>
    </row>
    <row r="34" spans="7:19" ht="19.8">
      <c r="G34" s="16"/>
      <c r="H34" s="17"/>
      <c r="I34" s="17"/>
      <c r="J34" s="17"/>
      <c r="K34" s="17"/>
      <c r="L34" s="17"/>
      <c r="M34" s="17"/>
      <c r="N34" s="17"/>
      <c r="O34" s="17" t="s">
        <v>45</v>
      </c>
      <c r="P34" s="17"/>
      <c r="Q34" s="17"/>
      <c r="R34" s="17"/>
      <c r="S34" s="17"/>
    </row>
    <row r="35" spans="7:19" ht="19.2"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</sheetData>
  <mergeCells count="17">
    <mergeCell ref="K30:L30"/>
    <mergeCell ref="K31:L31"/>
    <mergeCell ref="I17:N17"/>
    <mergeCell ref="I18:N18"/>
    <mergeCell ref="I19:N19"/>
    <mergeCell ref="I20:M20"/>
    <mergeCell ref="G25:S25"/>
    <mergeCell ref="H9:M9"/>
    <mergeCell ref="Q9:R9"/>
    <mergeCell ref="H10:M10"/>
    <mergeCell ref="I11:M11"/>
    <mergeCell ref="L12:M12"/>
    <mergeCell ref="G1:S1"/>
    <mergeCell ref="I2:Q2"/>
    <mergeCell ref="J3:O3"/>
    <mergeCell ref="H8:M8"/>
    <mergeCell ref="Q8:R8"/>
  </mergeCells>
  <dataValidations count="2">
    <dataValidation allowBlank="1" showInputMessage="1" sqref="H8:M8" xr:uid="{00000000-0002-0000-0000-000000000000}"/>
    <dataValidation allowBlank="1" showInputMessage="1" showErrorMessage="1" sqref="I17:J19" xr:uid="{00000000-0002-0000-0000-000001000000}"/>
  </dataValidations>
  <pageMargins left="0.44" right="0" top="0.31" bottom="0" header="0.31496062992126" footer="0.31496062992126"/>
  <pageSetup paperSize="9" scale="6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O56"/>
  <sheetViews>
    <sheetView zoomScale="60" zoomScaleNormal="60" workbookViewId="0">
      <selection activeCell="H47" sqref="H47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11" style="1" customWidth="1"/>
    <col min="9" max="9" width="9.109375" style="1" customWidth="1"/>
    <col min="10" max="10" width="66.88671875" style="1" customWidth="1"/>
    <col min="11" max="11" width="11.88671875" style="1" customWidth="1"/>
    <col min="12" max="12" width="12" style="1" customWidth="1"/>
    <col min="13" max="13" width="15.5546875" style="1" customWidth="1"/>
    <col min="14" max="14" width="16.33203125" style="1" customWidth="1"/>
    <col min="15" max="15" width="4.33203125" style="1" customWidth="1"/>
    <col min="16" max="16384" width="9.109375" style="1"/>
  </cols>
  <sheetData>
    <row r="1" spans="7:15" ht="53.4" customHeight="1">
      <c r="G1" s="99" t="s">
        <v>46</v>
      </c>
      <c r="H1" s="99"/>
      <c r="I1" s="99"/>
      <c r="J1" s="99"/>
      <c r="K1" s="99"/>
      <c r="L1" s="99"/>
      <c r="M1" s="99"/>
      <c r="N1" s="99"/>
      <c r="O1" s="99"/>
    </row>
    <row r="2" spans="7:15" ht="29.4">
      <c r="G2" s="60"/>
      <c r="H2" s="60"/>
      <c r="I2" s="60"/>
      <c r="J2" s="60"/>
      <c r="K2" s="60"/>
      <c r="L2" s="60"/>
      <c r="M2" s="60"/>
      <c r="N2" s="68" t="s">
        <v>47</v>
      </c>
      <c r="O2" s="60"/>
    </row>
    <row r="3" spans="7:15" s="59" customFormat="1" ht="19.95" customHeight="1">
      <c r="G3" s="2"/>
      <c r="H3" s="61" t="s">
        <v>48</v>
      </c>
      <c r="I3" s="2"/>
      <c r="J3" s="2"/>
      <c r="K3" s="2"/>
      <c r="L3" s="2"/>
      <c r="M3" s="20"/>
      <c r="N3" s="12" t="s">
        <v>49</v>
      </c>
      <c r="O3" s="2"/>
    </row>
    <row r="4" spans="7:15" s="59" customFormat="1" ht="19.95" customHeight="1">
      <c r="G4" s="2"/>
      <c r="H4" s="2"/>
      <c r="I4" s="2"/>
      <c r="J4" s="2"/>
      <c r="K4" s="2"/>
      <c r="L4" s="2"/>
      <c r="M4" s="2"/>
      <c r="N4" s="19" t="s">
        <v>50</v>
      </c>
      <c r="O4" s="2"/>
    </row>
    <row r="5" spans="7:15" s="59" customFormat="1" ht="19.95" customHeight="1">
      <c r="G5" s="2"/>
      <c r="H5" s="2"/>
      <c r="I5" s="2"/>
      <c r="J5" s="2"/>
      <c r="K5" s="2"/>
      <c r="L5" s="2"/>
      <c r="M5" s="2"/>
      <c r="N5" s="19" t="s">
        <v>51</v>
      </c>
      <c r="O5" s="2"/>
    </row>
    <row r="6" spans="7:15" s="59" customFormat="1" ht="19.95" customHeight="1">
      <c r="G6" s="2"/>
      <c r="H6" s="2"/>
      <c r="I6" s="2"/>
      <c r="J6" s="2"/>
      <c r="K6" s="2"/>
      <c r="L6" s="20"/>
      <c r="M6" s="2"/>
      <c r="N6" s="19" t="s">
        <v>52</v>
      </c>
      <c r="O6" s="2"/>
    </row>
    <row r="7" spans="7:15" s="59" customFormat="1" ht="19.95" customHeight="1">
      <c r="G7" s="2"/>
      <c r="H7" s="2"/>
      <c r="I7" s="19"/>
      <c r="J7" s="19"/>
      <c r="K7" s="20"/>
      <c r="L7" s="69"/>
      <c r="M7" s="2"/>
      <c r="N7" s="19" t="s">
        <v>53</v>
      </c>
      <c r="O7" s="2"/>
    </row>
    <row r="8" spans="7:15" s="59" customFormat="1" ht="19.95" customHeight="1">
      <c r="G8" s="2"/>
      <c r="H8" s="2"/>
      <c r="I8" s="19"/>
      <c r="J8" s="19"/>
      <c r="K8" s="20"/>
      <c r="L8" s="20"/>
      <c r="M8" s="2"/>
      <c r="N8" s="70" t="s">
        <v>54</v>
      </c>
      <c r="O8" s="2"/>
    </row>
    <row r="9" spans="7:15" ht="19.2">
      <c r="G9" s="4"/>
      <c r="H9" s="4"/>
      <c r="I9" s="4"/>
      <c r="J9" s="4"/>
      <c r="K9" s="4"/>
      <c r="L9" s="4"/>
      <c r="M9" s="4"/>
      <c r="N9" s="4"/>
      <c r="O9" s="4"/>
    </row>
    <row r="10" spans="7:15" ht="19.2">
      <c r="G10" s="4"/>
      <c r="H10" s="4"/>
      <c r="I10" s="4"/>
      <c r="J10" s="4"/>
      <c r="K10" s="4"/>
      <c r="L10" s="4"/>
      <c r="M10" s="4"/>
      <c r="N10" s="4"/>
      <c r="O10" s="4"/>
    </row>
    <row r="11" spans="7:15" ht="31.2" customHeight="1">
      <c r="G11" s="4"/>
      <c r="H11" s="62" t="s">
        <v>55</v>
      </c>
      <c r="I11" s="71"/>
      <c r="J11" s="71"/>
      <c r="K11" s="110" t="s">
        <v>56</v>
      </c>
      <c r="L11" s="111"/>
      <c r="M11" s="111"/>
      <c r="N11" s="111"/>
      <c r="O11" s="72"/>
    </row>
    <row r="12" spans="7:15" ht="20.399999999999999">
      <c r="G12" s="5"/>
      <c r="H12" s="5"/>
      <c r="I12" s="5"/>
      <c r="J12" s="5"/>
      <c r="K12" s="5"/>
      <c r="L12" s="27"/>
      <c r="M12" s="32"/>
      <c r="N12" s="5"/>
      <c r="O12" s="5"/>
    </row>
    <row r="13" spans="7:15" ht="20.399999999999999">
      <c r="G13" s="5"/>
      <c r="H13" s="5" t="s">
        <v>57</v>
      </c>
      <c r="I13" s="38"/>
      <c r="J13" s="38"/>
      <c r="K13" s="38"/>
      <c r="L13" s="27" t="s">
        <v>7</v>
      </c>
      <c r="M13" s="9"/>
      <c r="N13" s="26"/>
      <c r="O13" s="5"/>
    </row>
    <row r="14" spans="7:15" ht="20.399999999999999">
      <c r="G14" s="5"/>
      <c r="H14" s="5" t="s">
        <v>58</v>
      </c>
      <c r="I14" s="5"/>
      <c r="J14" s="5"/>
      <c r="K14" s="5"/>
      <c r="L14" s="27" t="s">
        <v>10</v>
      </c>
      <c r="M14" s="33"/>
      <c r="N14" s="5"/>
      <c r="O14" s="5"/>
    </row>
    <row r="15" spans="7:15" ht="20.399999999999999">
      <c r="G15" s="5"/>
      <c r="H15" s="6"/>
      <c r="I15" s="5"/>
      <c r="J15" s="5"/>
      <c r="K15" s="5"/>
      <c r="L15" s="27" t="s">
        <v>12</v>
      </c>
      <c r="M15" s="5"/>
      <c r="N15" s="5"/>
      <c r="O15" s="5"/>
    </row>
    <row r="16" spans="7:15" ht="20.399999999999999">
      <c r="G16" s="5"/>
      <c r="H16" s="5"/>
      <c r="I16" s="5"/>
      <c r="J16" s="5"/>
      <c r="K16" s="10"/>
      <c r="L16" s="27" t="s">
        <v>16</v>
      </c>
      <c r="M16" s="27"/>
      <c r="N16" s="5"/>
      <c r="O16" s="5"/>
    </row>
    <row r="17" spans="7:15" ht="20.399999999999999">
      <c r="G17" s="5"/>
      <c r="H17" s="5" t="s">
        <v>59</v>
      </c>
      <c r="I17" s="5"/>
      <c r="J17" s="5"/>
      <c r="K17" s="5"/>
      <c r="L17" s="26"/>
      <c r="M17" s="26"/>
      <c r="N17" s="26"/>
      <c r="O17" s="5"/>
    </row>
    <row r="18" spans="7:15" ht="20.399999999999999">
      <c r="G18" s="38"/>
      <c r="H18" s="6" t="s">
        <v>60</v>
      </c>
      <c r="I18" s="5"/>
      <c r="J18" s="5"/>
      <c r="K18" s="5"/>
      <c r="L18" s="5"/>
      <c r="M18" s="5"/>
      <c r="N18" s="38"/>
      <c r="O18" s="38"/>
    </row>
    <row r="19" spans="7:15" ht="20.399999999999999">
      <c r="G19" s="5"/>
      <c r="H19" s="5"/>
      <c r="I19" s="5"/>
      <c r="J19" s="5"/>
      <c r="K19" s="5"/>
      <c r="L19" s="5"/>
      <c r="M19" s="5"/>
      <c r="N19" s="5"/>
      <c r="O19" s="5"/>
    </row>
    <row r="20" spans="7:15" ht="20.399999999999999">
      <c r="G20" s="5"/>
      <c r="H20" s="5" t="s">
        <v>61</v>
      </c>
      <c r="I20" s="5"/>
      <c r="J20" s="5"/>
      <c r="K20" s="5"/>
      <c r="L20" s="5"/>
      <c r="M20" s="5"/>
      <c r="N20" s="5"/>
      <c r="O20" s="5"/>
    </row>
    <row r="21" spans="7:15" ht="31.2" customHeight="1">
      <c r="G21" s="63"/>
      <c r="H21" s="64" t="s">
        <v>62</v>
      </c>
      <c r="I21" s="112" t="s">
        <v>22</v>
      </c>
      <c r="J21" s="113"/>
      <c r="K21" s="113"/>
      <c r="L21" s="73" t="s">
        <v>23</v>
      </c>
      <c r="M21" s="74" t="s">
        <v>25</v>
      </c>
      <c r="N21" s="73" t="s">
        <v>63</v>
      </c>
      <c r="O21" s="75"/>
    </row>
    <row r="22" spans="7:15" ht="25.2" customHeight="1">
      <c r="G22" s="5"/>
      <c r="H22" s="65"/>
      <c r="I22" s="76"/>
      <c r="J22" s="5"/>
      <c r="K22" s="5"/>
      <c r="L22" s="77"/>
      <c r="M22" s="78"/>
      <c r="N22" s="79">
        <f>L22*M22</f>
        <v>0</v>
      </c>
      <c r="O22" s="76"/>
    </row>
    <row r="23" spans="7:15" ht="25.2" customHeight="1">
      <c r="G23" s="5"/>
      <c r="H23" s="66"/>
      <c r="I23" s="114"/>
      <c r="J23" s="108"/>
      <c r="K23" s="108"/>
      <c r="L23" s="80"/>
      <c r="M23" s="81"/>
      <c r="N23" s="79">
        <f t="shared" ref="N23:N40" si="0">L23*M23</f>
        <v>0</v>
      </c>
      <c r="O23" s="76"/>
    </row>
    <row r="24" spans="7:15" ht="25.2" customHeight="1">
      <c r="G24" s="5"/>
      <c r="H24" s="66"/>
      <c r="I24" s="114"/>
      <c r="J24" s="108"/>
      <c r="K24" s="108"/>
      <c r="L24" s="80"/>
      <c r="M24" s="81"/>
      <c r="N24" s="79">
        <f t="shared" si="0"/>
        <v>0</v>
      </c>
      <c r="O24" s="76"/>
    </row>
    <row r="25" spans="7:15" ht="25.2" customHeight="1">
      <c r="G25" s="5"/>
      <c r="H25" s="66"/>
      <c r="I25" s="114"/>
      <c r="J25" s="108"/>
      <c r="K25" s="108"/>
      <c r="L25" s="80"/>
      <c r="M25" s="81"/>
      <c r="N25" s="79">
        <f t="shared" si="0"/>
        <v>0</v>
      </c>
      <c r="O25" s="76"/>
    </row>
    <row r="26" spans="7:15" ht="25.2" customHeight="1">
      <c r="G26" s="5"/>
      <c r="H26" s="66"/>
      <c r="I26" s="114"/>
      <c r="J26" s="108"/>
      <c r="K26" s="108"/>
      <c r="L26" s="80"/>
      <c r="M26" s="81"/>
      <c r="N26" s="79">
        <f t="shared" si="0"/>
        <v>0</v>
      </c>
      <c r="O26" s="76"/>
    </row>
    <row r="27" spans="7:15" ht="25.2" customHeight="1">
      <c r="G27" s="5"/>
      <c r="H27" s="66"/>
      <c r="I27" s="114"/>
      <c r="J27" s="108"/>
      <c r="K27" s="108"/>
      <c r="L27" s="80"/>
      <c r="M27" s="81"/>
      <c r="N27" s="79">
        <f t="shared" si="0"/>
        <v>0</v>
      </c>
      <c r="O27" s="76"/>
    </row>
    <row r="28" spans="7:15" ht="25.2" customHeight="1">
      <c r="G28" s="5"/>
      <c r="H28" s="66"/>
      <c r="I28" s="114"/>
      <c r="J28" s="108"/>
      <c r="K28" s="108"/>
      <c r="L28" s="80"/>
      <c r="M28" s="81"/>
      <c r="N28" s="79">
        <f t="shared" si="0"/>
        <v>0</v>
      </c>
      <c r="O28" s="76"/>
    </row>
    <row r="29" spans="7:15" ht="25.2" customHeight="1">
      <c r="G29" s="5"/>
      <c r="H29" s="66"/>
      <c r="I29" s="114"/>
      <c r="J29" s="108"/>
      <c r="K29" s="108"/>
      <c r="L29" s="80"/>
      <c r="M29" s="81"/>
      <c r="N29" s="79">
        <f t="shared" si="0"/>
        <v>0</v>
      </c>
      <c r="O29" s="76"/>
    </row>
    <row r="30" spans="7:15" ht="25.2" customHeight="1">
      <c r="G30" s="5"/>
      <c r="H30" s="66"/>
      <c r="I30" s="114"/>
      <c r="J30" s="108"/>
      <c r="K30" s="108"/>
      <c r="L30" s="80"/>
      <c r="M30" s="81"/>
      <c r="N30" s="79">
        <f t="shared" si="0"/>
        <v>0</v>
      </c>
      <c r="O30" s="76"/>
    </row>
    <row r="31" spans="7:15" ht="25.2" customHeight="1">
      <c r="G31" s="5"/>
      <c r="H31" s="66"/>
      <c r="I31" s="114"/>
      <c r="J31" s="108"/>
      <c r="K31" s="108"/>
      <c r="L31" s="80"/>
      <c r="M31" s="81"/>
      <c r="N31" s="79">
        <f t="shared" si="0"/>
        <v>0</v>
      </c>
      <c r="O31" s="76"/>
    </row>
    <row r="32" spans="7:15" ht="25.2" customHeight="1">
      <c r="G32" s="5"/>
      <c r="H32" s="66"/>
      <c r="I32" s="114"/>
      <c r="J32" s="108"/>
      <c r="K32" s="108"/>
      <c r="L32" s="80"/>
      <c r="M32" s="81"/>
      <c r="N32" s="79">
        <f t="shared" si="0"/>
        <v>0</v>
      </c>
      <c r="O32" s="76"/>
    </row>
    <row r="33" spans="7:15" ht="25.2" customHeight="1">
      <c r="G33" s="5"/>
      <c r="H33" s="66"/>
      <c r="I33" s="114"/>
      <c r="J33" s="108"/>
      <c r="K33" s="108"/>
      <c r="L33" s="80"/>
      <c r="M33" s="81"/>
      <c r="N33" s="79">
        <f t="shared" si="0"/>
        <v>0</v>
      </c>
      <c r="O33" s="76"/>
    </row>
    <row r="34" spans="7:15" ht="25.2" customHeight="1">
      <c r="G34" s="5"/>
      <c r="H34" s="66"/>
      <c r="I34" s="114"/>
      <c r="J34" s="108"/>
      <c r="K34" s="108"/>
      <c r="L34" s="80"/>
      <c r="M34" s="81"/>
      <c r="N34" s="79">
        <f t="shared" si="0"/>
        <v>0</v>
      </c>
      <c r="O34" s="76"/>
    </row>
    <row r="35" spans="7:15" ht="25.2" customHeight="1">
      <c r="G35" s="5"/>
      <c r="H35" s="66"/>
      <c r="I35" s="114"/>
      <c r="J35" s="108"/>
      <c r="K35" s="108"/>
      <c r="L35" s="80"/>
      <c r="M35" s="81"/>
      <c r="N35" s="79">
        <f t="shared" si="0"/>
        <v>0</v>
      </c>
      <c r="O35" s="76"/>
    </row>
    <row r="36" spans="7:15" ht="25.2" customHeight="1">
      <c r="G36" s="5"/>
      <c r="H36" s="66"/>
      <c r="I36" s="114"/>
      <c r="J36" s="108"/>
      <c r="K36" s="108"/>
      <c r="L36" s="80"/>
      <c r="M36" s="81"/>
      <c r="N36" s="79">
        <f t="shared" si="0"/>
        <v>0</v>
      </c>
      <c r="O36" s="76"/>
    </row>
    <row r="37" spans="7:15" ht="25.2" customHeight="1">
      <c r="G37" s="28"/>
      <c r="H37" s="66"/>
      <c r="I37" s="114"/>
      <c r="J37" s="108"/>
      <c r="K37" s="108"/>
      <c r="L37" s="80"/>
      <c r="M37" s="81"/>
      <c r="N37" s="79">
        <f t="shared" si="0"/>
        <v>0</v>
      </c>
      <c r="O37" s="76"/>
    </row>
    <row r="38" spans="7:15" ht="25.2" customHeight="1">
      <c r="G38" s="28"/>
      <c r="H38" s="66"/>
      <c r="I38" s="114"/>
      <c r="J38" s="108"/>
      <c r="K38" s="108"/>
      <c r="L38" s="80"/>
      <c r="M38" s="81"/>
      <c r="N38" s="79">
        <f t="shared" si="0"/>
        <v>0</v>
      </c>
      <c r="O38" s="76"/>
    </row>
    <row r="39" spans="7:15" ht="25.2" customHeight="1">
      <c r="G39" s="28"/>
      <c r="H39" s="66"/>
      <c r="I39" s="114"/>
      <c r="J39" s="108"/>
      <c r="K39" s="108"/>
      <c r="L39" s="80"/>
      <c r="M39" s="81"/>
      <c r="N39" s="79">
        <f t="shared" si="0"/>
        <v>0</v>
      </c>
      <c r="O39" s="76"/>
    </row>
    <row r="40" spans="7:15" ht="25.2" customHeight="1">
      <c r="G40" s="28"/>
      <c r="H40" s="67"/>
      <c r="I40" s="120"/>
      <c r="J40" s="121"/>
      <c r="K40" s="121"/>
      <c r="L40" s="80"/>
      <c r="M40" s="81"/>
      <c r="N40" s="79">
        <f t="shared" si="0"/>
        <v>0</v>
      </c>
      <c r="O40" s="76"/>
    </row>
    <row r="41" spans="7:15" ht="25.2" customHeight="1">
      <c r="G41" s="28"/>
      <c r="H41" s="37"/>
      <c r="I41" s="108"/>
      <c r="J41" s="108"/>
      <c r="K41" s="108"/>
      <c r="L41" s="117" t="s">
        <v>64</v>
      </c>
      <c r="M41" s="118"/>
      <c r="N41" s="82">
        <f>SUM(N23:N40)</f>
        <v>0</v>
      </c>
      <c r="O41" s="5"/>
    </row>
    <row r="42" spans="7:15" ht="25.2" customHeight="1">
      <c r="G42" s="5"/>
      <c r="H42" s="11" t="s">
        <v>34</v>
      </c>
      <c r="I42" s="108"/>
      <c r="J42" s="108"/>
      <c r="K42" s="108"/>
      <c r="L42" s="115" t="s">
        <v>26</v>
      </c>
      <c r="M42" s="116"/>
      <c r="N42" s="83">
        <v>0</v>
      </c>
      <c r="O42" s="5"/>
    </row>
    <row r="43" spans="7:15" ht="25.2" customHeight="1">
      <c r="G43" s="5"/>
      <c r="H43" s="37"/>
      <c r="I43" s="108"/>
      <c r="J43" s="108"/>
      <c r="K43" s="108"/>
      <c r="L43" s="115" t="s">
        <v>65</v>
      </c>
      <c r="M43" s="116"/>
      <c r="N43" s="83">
        <v>0</v>
      </c>
      <c r="O43" s="5"/>
    </row>
    <row r="44" spans="7:15" ht="25.2" customHeight="1">
      <c r="G44" s="5"/>
      <c r="H44" s="5"/>
      <c r="I44" s="28"/>
      <c r="J44" s="28"/>
      <c r="K44" s="28"/>
      <c r="L44" s="117" t="s">
        <v>66</v>
      </c>
      <c r="M44" s="118"/>
      <c r="N44" s="84">
        <f>SUM(N41:N43)</f>
        <v>0</v>
      </c>
      <c r="O44" s="28"/>
    </row>
    <row r="45" spans="7:15" ht="20.399999999999999">
      <c r="G45" s="13"/>
      <c r="H45" s="5"/>
      <c r="I45" s="28"/>
      <c r="J45" s="28"/>
      <c r="K45" s="28"/>
      <c r="L45" s="28"/>
      <c r="M45" s="28"/>
      <c r="N45" s="28"/>
      <c r="O45" s="28"/>
    </row>
    <row r="46" spans="7:15" ht="20.399999999999999">
      <c r="G46" s="5"/>
      <c r="H46" s="5" t="s">
        <v>67</v>
      </c>
      <c r="I46" s="5"/>
      <c r="J46" s="5"/>
      <c r="K46" s="5"/>
      <c r="L46" s="5"/>
      <c r="M46" s="5"/>
      <c r="N46" s="5"/>
      <c r="O46" s="5"/>
    </row>
    <row r="47" spans="7:15" ht="20.399999999999999">
      <c r="G47" s="5"/>
      <c r="H47" s="5" t="s">
        <v>68</v>
      </c>
      <c r="I47" s="5"/>
      <c r="J47" s="5"/>
      <c r="K47" s="5"/>
      <c r="L47" s="5"/>
      <c r="M47" s="5"/>
      <c r="N47" s="5"/>
      <c r="O47" s="5"/>
    </row>
    <row r="48" spans="7:15" ht="20.399999999999999">
      <c r="G48" s="26"/>
      <c r="H48" s="5"/>
      <c r="I48" s="5"/>
      <c r="J48" s="5"/>
      <c r="K48" s="5"/>
      <c r="L48" s="38"/>
      <c r="M48" s="38"/>
      <c r="N48" s="38"/>
      <c r="O48" s="38"/>
    </row>
    <row r="49" spans="7:15" ht="20.399999999999999">
      <c r="G49" s="26"/>
      <c r="H49" s="5" t="s">
        <v>38</v>
      </c>
      <c r="I49" s="5"/>
      <c r="J49" s="5"/>
      <c r="K49" s="5" t="s">
        <v>39</v>
      </c>
      <c r="L49" s="5"/>
      <c r="M49" s="5"/>
      <c r="N49" s="5"/>
      <c r="O49" s="5"/>
    </row>
    <row r="50" spans="7:15" ht="20.399999999999999">
      <c r="G50" s="26"/>
      <c r="H50" s="5"/>
      <c r="I50" s="5"/>
      <c r="J50" s="5"/>
      <c r="K50" s="5"/>
      <c r="L50" s="5"/>
      <c r="M50" s="5"/>
      <c r="N50" s="5"/>
      <c r="O50" s="5"/>
    </row>
    <row r="51" spans="7:15" ht="19.8">
      <c r="G51" s="16"/>
      <c r="H51" s="17"/>
      <c r="I51" s="17"/>
      <c r="J51" s="17"/>
      <c r="K51" s="17"/>
      <c r="L51" s="17"/>
      <c r="M51" s="17"/>
      <c r="N51" s="17"/>
      <c r="O51" s="17"/>
    </row>
    <row r="52" spans="7:15" ht="19.2">
      <c r="G52" s="16"/>
      <c r="H52" s="44"/>
      <c r="I52" s="44"/>
      <c r="J52" s="44"/>
      <c r="K52" s="44"/>
      <c r="L52" s="44"/>
      <c r="M52" s="44"/>
      <c r="N52" s="44"/>
      <c r="O52" s="44"/>
    </row>
    <row r="53" spans="7:15" ht="19.8">
      <c r="G53" s="16"/>
      <c r="H53" s="95" t="s">
        <v>69</v>
      </c>
      <c r="I53" s="17"/>
      <c r="J53" s="17"/>
      <c r="K53" s="95" t="s">
        <v>69</v>
      </c>
      <c r="L53" s="17"/>
      <c r="M53" s="17"/>
      <c r="N53" s="17"/>
      <c r="O53" s="17"/>
    </row>
    <row r="54" spans="7:15" ht="19.8">
      <c r="G54" s="16"/>
      <c r="H54" s="31" t="s">
        <v>43</v>
      </c>
      <c r="I54" s="47"/>
      <c r="J54" s="47"/>
      <c r="K54" s="31" t="s">
        <v>44</v>
      </c>
      <c r="L54" s="31"/>
      <c r="M54" s="31"/>
      <c r="N54" s="31"/>
      <c r="O54" s="31"/>
    </row>
    <row r="55" spans="7:15" ht="19.8">
      <c r="G55" s="16"/>
      <c r="H55" s="17"/>
      <c r="I55" s="17"/>
      <c r="J55" s="17"/>
      <c r="K55" s="17" t="s">
        <v>45</v>
      </c>
      <c r="L55" s="119"/>
      <c r="M55" s="119"/>
      <c r="N55" s="119"/>
      <c r="O55" s="119"/>
    </row>
    <row r="56" spans="7:15" ht="19.2">
      <c r="G56" s="18"/>
      <c r="H56" s="18"/>
      <c r="I56" s="18"/>
      <c r="J56" s="18"/>
      <c r="K56" s="18"/>
      <c r="L56" s="18"/>
      <c r="M56" s="18"/>
      <c r="N56" s="18"/>
      <c r="O56" s="18"/>
    </row>
  </sheetData>
  <mergeCells count="29">
    <mergeCell ref="I43:K43"/>
    <mergeCell ref="L43:M43"/>
    <mergeCell ref="L44:M44"/>
    <mergeCell ref="L55:O55"/>
    <mergeCell ref="I40:K40"/>
    <mergeCell ref="I41:K41"/>
    <mergeCell ref="L41:M41"/>
    <mergeCell ref="I42:K42"/>
    <mergeCell ref="L42:M42"/>
    <mergeCell ref="I35:K35"/>
    <mergeCell ref="I36:K36"/>
    <mergeCell ref="I37:K3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G1:O1"/>
    <mergeCell ref="K11:N11"/>
    <mergeCell ref="I21:K21"/>
    <mergeCell ref="I23:K23"/>
    <mergeCell ref="I24:K24"/>
  </mergeCells>
  <dataValidations count="2">
    <dataValidation allowBlank="1" showInputMessage="1" sqref="H11:J11 H18" xr:uid="{00000000-0002-0000-0100-000000000000}"/>
    <dataValidation allowBlank="1" showInputMessage="1" showErrorMessage="1" sqref="I23:K43" xr:uid="{00000000-0002-0000-0100-000001000000}"/>
  </dataValidations>
  <hyperlinks>
    <hyperlink ref="N8" r:id="rId1" xr:uid="{00000000-0004-0000-0100-000000000000}"/>
  </hyperlinks>
  <pageMargins left="0.6" right="0" top="0.31" bottom="0" header="0.31496062992126" footer="0.31496062992126"/>
  <pageSetup paperSize="9" scale="62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S41"/>
  <sheetViews>
    <sheetView topLeftCell="A10" zoomScale="73" zoomScaleNormal="52" workbookViewId="0">
      <selection activeCell="I23" sqref="I23:N23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6.3320312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16384" width="9.109375" style="1"/>
  </cols>
  <sheetData>
    <row r="1" spans="5:19" ht="53.4" customHeight="1">
      <c r="G1" s="99" t="s">
        <v>46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5:19" ht="29.4">
      <c r="G2" s="122" t="s">
        <v>137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5:19" ht="24.6">
      <c r="G3" s="123" t="s">
        <v>140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</row>
    <row r="4" spans="5:19" ht="24.6">
      <c r="G4" s="123" t="s">
        <v>139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</row>
    <row r="5" spans="5:19" ht="24.6">
      <c r="G5" s="123" t="s">
        <v>138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</row>
    <row r="6" spans="5:19" ht="24.6">
      <c r="G6" s="3"/>
      <c r="H6" s="125" t="s">
        <v>141</v>
      </c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</row>
    <row r="7" spans="5:19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5:19" ht="19.9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75</v>
      </c>
      <c r="Q8" s="48"/>
      <c r="R8" s="49"/>
      <c r="S8" s="4"/>
    </row>
    <row r="9" spans="5:19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</row>
    <row r="10" spans="5:19" ht="20.399999999999999">
      <c r="E10" s="7" t="s">
        <v>5</v>
      </c>
      <c r="F10" s="8" t="str">
        <f>IFERROR(MATCH(H10,Cust_ddown,0)+4,"")</f>
        <v/>
      </c>
      <c r="G10" s="5"/>
      <c r="H10" s="102" t="s">
        <v>76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27">
        <v>202601030025</v>
      </c>
      <c r="R10" s="128"/>
      <c r="S10" s="5"/>
    </row>
    <row r="11" spans="5:19" ht="20.399999999999999">
      <c r="G11" s="5"/>
      <c r="H11" s="129" t="s">
        <v>142</v>
      </c>
      <c r="I11" s="102"/>
      <c r="J11" s="102"/>
      <c r="K11" s="102"/>
      <c r="L11" s="102"/>
      <c r="M11" s="102"/>
      <c r="N11" s="5"/>
      <c r="O11" s="26"/>
      <c r="P11" s="27" t="s">
        <v>10</v>
      </c>
      <c r="Q11" s="103">
        <v>46082</v>
      </c>
      <c r="R11" s="103"/>
      <c r="S11" s="5"/>
    </row>
    <row r="12" spans="5:19" ht="20.399999999999999">
      <c r="G12" s="5"/>
      <c r="H12" s="104"/>
      <c r="I12" s="104"/>
      <c r="J12" s="104"/>
      <c r="K12" s="104"/>
      <c r="L12" s="104"/>
      <c r="M12" s="104"/>
      <c r="N12" s="5"/>
      <c r="O12" s="26"/>
      <c r="P12" s="27" t="s">
        <v>12</v>
      </c>
      <c r="Q12" s="6" t="s">
        <v>154</v>
      </c>
      <c r="R12" s="5"/>
      <c r="S12" s="26"/>
    </row>
    <row r="13" spans="5:19" ht="20.399999999999999">
      <c r="G13" s="5"/>
      <c r="H13" s="6" t="s">
        <v>14</v>
      </c>
      <c r="I13" s="105"/>
      <c r="J13" s="105"/>
      <c r="K13" s="105"/>
      <c r="L13" s="105"/>
      <c r="M13" s="105"/>
      <c r="N13" s="5"/>
      <c r="O13" s="26"/>
      <c r="P13" s="27"/>
      <c r="Q13" s="6"/>
      <c r="R13" s="27"/>
      <c r="S13" s="5"/>
    </row>
    <row r="14" spans="5:19" ht="20.399999999999999">
      <c r="G14" s="5"/>
      <c r="H14" s="5" t="s">
        <v>18</v>
      </c>
      <c r="I14" s="5" t="s">
        <v>19</v>
      </c>
      <c r="J14" s="5"/>
      <c r="K14" s="27" t="s">
        <v>20</v>
      </c>
      <c r="L14" s="106"/>
      <c r="M14" s="106"/>
      <c r="N14" s="5"/>
      <c r="O14" s="26"/>
      <c r="P14" s="27"/>
      <c r="Q14" s="27"/>
      <c r="R14" s="27"/>
      <c r="S14" s="5"/>
    </row>
    <row r="15" spans="5:19" ht="20.399999999999999">
      <c r="G15" s="5"/>
      <c r="H15" s="5" t="s">
        <v>77</v>
      </c>
      <c r="I15" s="5" t="s">
        <v>78</v>
      </c>
      <c r="J15" s="5"/>
      <c r="K15" s="6"/>
      <c r="L15" s="6"/>
      <c r="M15" s="6"/>
      <c r="N15" s="5"/>
      <c r="O15" s="5"/>
      <c r="P15" s="26"/>
      <c r="Q15" s="26"/>
      <c r="R15" s="26"/>
      <c r="S15" s="26"/>
    </row>
    <row r="16" spans="5:19" ht="20.399999999999999">
      <c r="G16" s="38"/>
      <c r="H16" s="5"/>
      <c r="I16" s="5"/>
      <c r="J16" s="5"/>
      <c r="K16" s="6"/>
      <c r="L16" s="6"/>
      <c r="M16" s="6"/>
      <c r="N16" s="5"/>
      <c r="O16" s="6"/>
      <c r="P16" s="5"/>
      <c r="Q16" s="5"/>
      <c r="R16" s="5"/>
      <c r="S16" s="38"/>
    </row>
    <row r="17" spans="5:19" ht="7.2" customHeight="1">
      <c r="G17" s="5"/>
      <c r="H17" s="6"/>
      <c r="I17" s="5"/>
      <c r="J17" s="5"/>
      <c r="K17" s="6"/>
      <c r="L17" s="6"/>
      <c r="M17" s="6"/>
      <c r="N17" s="6"/>
      <c r="O17" s="5"/>
      <c r="P17" s="5"/>
      <c r="Q17" s="5"/>
      <c r="R17" s="5"/>
      <c r="S17" s="5"/>
    </row>
    <row r="18" spans="5:19" ht="20.399999999999999">
      <c r="G18" s="5"/>
      <c r="H18" s="10" t="s">
        <v>21</v>
      </c>
      <c r="I18" s="6" t="s">
        <v>22</v>
      </c>
      <c r="J18" s="6"/>
      <c r="K18" s="6"/>
      <c r="L18" s="6"/>
      <c r="M18" s="6"/>
      <c r="N18" s="6"/>
      <c r="O18" s="6" t="s">
        <v>23</v>
      </c>
      <c r="P18" s="6" t="s">
        <v>24</v>
      </c>
      <c r="Q18" s="6" t="s">
        <v>25</v>
      </c>
      <c r="R18" s="5" t="s">
        <v>26</v>
      </c>
      <c r="S18" s="5" t="s">
        <v>27</v>
      </c>
    </row>
    <row r="19" spans="5:19" ht="1.05" customHeight="1">
      <c r="G19" s="5"/>
      <c r="H19" s="10"/>
      <c r="I19" s="5"/>
      <c r="J19" s="5"/>
      <c r="K19" s="6"/>
      <c r="L19" s="6"/>
      <c r="M19" s="6"/>
      <c r="N19" s="6"/>
      <c r="O19" s="6"/>
      <c r="P19" s="27"/>
      <c r="Q19" s="27"/>
      <c r="R19" s="5"/>
      <c r="S19" s="5"/>
    </row>
    <row r="20" spans="5:19" s="59" customFormat="1" ht="19.2" customHeight="1">
      <c r="E20" s="86"/>
      <c r="F20" s="87" t="str">
        <f>IFERROR(MATCH(I20,Prod_ddown,0)+4,"")</f>
        <v/>
      </c>
      <c r="G20" s="28"/>
      <c r="H20" s="37">
        <v>1</v>
      </c>
      <c r="I20" s="130" t="s">
        <v>143</v>
      </c>
      <c r="J20" s="131"/>
      <c r="K20" s="131"/>
      <c r="L20" s="131"/>
      <c r="M20" s="131"/>
      <c r="N20" s="131"/>
      <c r="O20" s="46">
        <v>1</v>
      </c>
      <c r="P20" s="11" t="s">
        <v>29</v>
      </c>
      <c r="Q20" s="34">
        <v>15</v>
      </c>
      <c r="R20" s="50">
        <v>0</v>
      </c>
      <c r="S20" s="50">
        <f t="shared" ref="S20:S27" si="0">(O20*Q20)-R20</f>
        <v>15</v>
      </c>
    </row>
    <row r="21" spans="5:19" s="59" customFormat="1" ht="18" customHeight="1">
      <c r="E21" s="86"/>
      <c r="F21" s="87"/>
      <c r="G21" s="28"/>
      <c r="H21" s="37">
        <v>2</v>
      </c>
      <c r="I21" s="133" t="s">
        <v>145</v>
      </c>
      <c r="J21" s="134"/>
      <c r="K21" s="134"/>
      <c r="L21" s="134"/>
      <c r="M21" s="134"/>
      <c r="N21" s="134"/>
      <c r="O21" s="46">
        <v>1</v>
      </c>
      <c r="P21" s="11" t="s">
        <v>29</v>
      </c>
      <c r="Q21" s="34">
        <v>70</v>
      </c>
      <c r="R21" s="50"/>
      <c r="S21" s="50">
        <f t="shared" si="0"/>
        <v>70</v>
      </c>
    </row>
    <row r="22" spans="5:19" s="59" customFormat="1" ht="18" customHeight="1">
      <c r="E22" s="86"/>
      <c r="F22" s="87"/>
      <c r="G22" s="28"/>
      <c r="H22" s="37">
        <v>3</v>
      </c>
      <c r="I22" s="133" t="s">
        <v>146</v>
      </c>
      <c r="J22" s="134"/>
      <c r="K22" s="134"/>
      <c r="L22" s="134"/>
      <c r="M22" s="134"/>
      <c r="N22" s="134"/>
      <c r="O22" s="46">
        <v>1</v>
      </c>
      <c r="P22" s="11" t="s">
        <v>29</v>
      </c>
      <c r="Q22" s="34">
        <v>35</v>
      </c>
      <c r="R22" s="50"/>
      <c r="S22" s="50">
        <f t="shared" si="0"/>
        <v>35</v>
      </c>
    </row>
    <row r="23" spans="5:19" s="59" customFormat="1" ht="18" customHeight="1">
      <c r="E23" s="86"/>
      <c r="F23" s="87"/>
      <c r="G23" s="28"/>
      <c r="H23" s="37">
        <v>4</v>
      </c>
      <c r="I23" s="133" t="s">
        <v>147</v>
      </c>
      <c r="J23" s="134"/>
      <c r="K23" s="134"/>
      <c r="L23" s="134"/>
      <c r="M23" s="134"/>
      <c r="N23" s="134"/>
      <c r="O23" s="46">
        <v>1</v>
      </c>
      <c r="P23" s="97" t="s">
        <v>29</v>
      </c>
      <c r="Q23" s="34">
        <v>20</v>
      </c>
      <c r="R23" s="50"/>
      <c r="S23" s="50">
        <f t="shared" si="0"/>
        <v>20</v>
      </c>
    </row>
    <row r="24" spans="5:19" ht="18.600000000000001" customHeight="1">
      <c r="F24" s="8" t="str">
        <f>IFERROR(MATCH(I24,Prod_ddown,0)+4,"")</f>
        <v/>
      </c>
      <c r="G24" s="5"/>
      <c r="H24" s="37">
        <v>5</v>
      </c>
      <c r="I24" s="132" t="s">
        <v>148</v>
      </c>
      <c r="J24" s="108"/>
      <c r="K24" s="108"/>
      <c r="L24" s="108"/>
      <c r="M24" s="108"/>
      <c r="N24" s="108"/>
      <c r="O24" s="46">
        <v>1</v>
      </c>
      <c r="P24" s="97" t="s">
        <v>29</v>
      </c>
      <c r="Q24" s="34">
        <v>30</v>
      </c>
      <c r="R24" s="50"/>
      <c r="S24" s="50">
        <f t="shared" si="0"/>
        <v>30</v>
      </c>
    </row>
    <row r="25" spans="5:19" ht="18.600000000000001" customHeight="1">
      <c r="F25" s="8"/>
      <c r="G25" s="5"/>
      <c r="H25" s="37">
        <v>6</v>
      </c>
      <c r="I25" s="97" t="s">
        <v>150</v>
      </c>
      <c r="J25" s="11"/>
      <c r="K25" s="11"/>
      <c r="L25" s="11"/>
      <c r="M25" s="11"/>
      <c r="N25" s="11"/>
      <c r="O25" s="46">
        <v>1</v>
      </c>
      <c r="P25" s="97" t="s">
        <v>29</v>
      </c>
      <c r="Q25" s="34">
        <v>360</v>
      </c>
      <c r="R25" s="50"/>
      <c r="S25" s="50">
        <f t="shared" si="0"/>
        <v>360</v>
      </c>
    </row>
    <row r="26" spans="5:19" ht="19.05" customHeight="1">
      <c r="G26" s="5"/>
      <c r="H26" s="37">
        <v>7</v>
      </c>
      <c r="I26" s="108" t="s">
        <v>149</v>
      </c>
      <c r="J26" s="108"/>
      <c r="K26" s="108"/>
      <c r="L26" s="108"/>
      <c r="M26" s="108"/>
      <c r="N26" s="108"/>
      <c r="O26" s="46">
        <v>1</v>
      </c>
      <c r="P26" s="11" t="s">
        <v>136</v>
      </c>
      <c r="Q26" s="34">
        <v>350</v>
      </c>
      <c r="R26" s="50"/>
      <c r="S26" s="50">
        <f t="shared" si="0"/>
        <v>350</v>
      </c>
    </row>
    <row r="27" spans="5:19" ht="19.05" customHeight="1">
      <c r="G27" s="5"/>
      <c r="H27" s="37">
        <v>8</v>
      </c>
      <c r="I27" s="11" t="s">
        <v>144</v>
      </c>
      <c r="J27" s="11"/>
      <c r="K27" s="11"/>
      <c r="L27" s="11"/>
      <c r="M27" s="11"/>
      <c r="N27" s="11"/>
      <c r="O27" s="46">
        <v>1</v>
      </c>
      <c r="P27" s="11" t="s">
        <v>29</v>
      </c>
      <c r="Q27" s="34">
        <v>45</v>
      </c>
      <c r="R27" s="50"/>
      <c r="S27" s="50">
        <f t="shared" si="0"/>
        <v>45</v>
      </c>
    </row>
    <row r="28" spans="5:19" ht="13.8" customHeight="1">
      <c r="G28" s="5"/>
      <c r="H28" s="5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5:19" ht="24" customHeight="1">
      <c r="G29" s="5"/>
      <c r="H29" s="12" t="s">
        <v>34</v>
      </c>
      <c r="I29" s="98" t="s">
        <v>151</v>
      </c>
      <c r="J29" s="28"/>
      <c r="K29" s="28"/>
      <c r="L29" s="28"/>
      <c r="M29" s="28"/>
      <c r="N29" s="28"/>
      <c r="O29" s="28"/>
      <c r="P29" s="28"/>
      <c r="Q29" s="28"/>
      <c r="R29" s="12" t="s">
        <v>36</v>
      </c>
      <c r="S29" s="51">
        <f>SUM(S20:S27)</f>
        <v>925</v>
      </c>
    </row>
    <row r="30" spans="5:19" ht="6.6" hidden="1" customHeight="1">
      <c r="G30" s="13"/>
      <c r="H30" s="5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5:19" ht="19.5" customHeight="1">
      <c r="G31" s="135" t="s">
        <v>153</v>
      </c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</row>
    <row r="32" spans="5:19" ht="8.4" customHeight="1"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</row>
    <row r="33" spans="7:19" ht="20.399999999999999">
      <c r="G33" s="5"/>
      <c r="H33" s="5" t="s">
        <v>80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7:19" ht="11.4" customHeight="1">
      <c r="G34" s="26"/>
      <c r="H34" s="5"/>
      <c r="I34" s="5"/>
      <c r="J34" s="5"/>
      <c r="K34" s="5"/>
      <c r="L34" s="5"/>
      <c r="M34" s="5"/>
      <c r="N34" s="5"/>
      <c r="O34" s="38"/>
      <c r="P34" s="38"/>
      <c r="Q34" s="38"/>
      <c r="R34" s="38"/>
      <c r="S34" s="38"/>
    </row>
    <row r="35" spans="7:19" ht="20.399999999999999">
      <c r="G35" s="26"/>
      <c r="H35" s="5" t="s">
        <v>38</v>
      </c>
      <c r="I35" s="5"/>
      <c r="J35" s="5"/>
      <c r="K35" s="5"/>
      <c r="L35" s="5"/>
      <c r="M35" s="5"/>
      <c r="N35" s="5"/>
      <c r="O35" s="5" t="s">
        <v>82</v>
      </c>
      <c r="P35" s="38"/>
      <c r="Q35" s="38"/>
      <c r="R35" s="38"/>
      <c r="S35" s="38"/>
    </row>
    <row r="36" spans="7:19" ht="20.399999999999999">
      <c r="G36" s="2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7:19" ht="20.399999999999999">
      <c r="G37" s="2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7:19" ht="20.399999999999999">
      <c r="G38" s="26"/>
      <c r="H38" s="5"/>
      <c r="I38" s="96" t="s">
        <v>152</v>
      </c>
      <c r="J38" s="5"/>
      <c r="K38" s="107"/>
      <c r="L38" s="107"/>
      <c r="M38" s="5"/>
      <c r="N38" s="5"/>
      <c r="O38" s="5"/>
      <c r="P38" s="5"/>
      <c r="Q38" s="5"/>
      <c r="R38" s="5"/>
      <c r="S38" s="5"/>
    </row>
    <row r="39" spans="7:19" ht="20.399999999999999">
      <c r="G39" s="16"/>
      <c r="H39" s="44"/>
      <c r="I39" s="44"/>
      <c r="J39" s="44"/>
      <c r="K39" s="107"/>
      <c r="L39" s="107"/>
      <c r="M39" s="44"/>
      <c r="N39" s="17"/>
      <c r="O39" s="44"/>
      <c r="P39" s="44"/>
      <c r="Q39" s="44"/>
      <c r="R39" s="44"/>
      <c r="S39" s="44"/>
    </row>
    <row r="40" spans="7:19" ht="19.8">
      <c r="G40" s="16"/>
      <c r="H40" s="17" t="s">
        <v>41</v>
      </c>
      <c r="I40" s="17"/>
      <c r="J40" s="17"/>
      <c r="K40" s="17"/>
      <c r="L40" s="17"/>
      <c r="M40" s="17"/>
      <c r="N40" s="17"/>
      <c r="O40" s="95" t="s">
        <v>42</v>
      </c>
      <c r="P40" s="17"/>
      <c r="Q40" s="17"/>
      <c r="R40" s="17"/>
      <c r="S40" s="17"/>
    </row>
    <row r="41" spans="7:19" ht="19.8">
      <c r="G41" s="16"/>
      <c r="H41" s="31" t="s">
        <v>43</v>
      </c>
      <c r="I41" s="47"/>
      <c r="J41" s="47"/>
      <c r="K41" s="47"/>
      <c r="L41" s="47"/>
      <c r="M41" s="47"/>
      <c r="N41" s="17"/>
      <c r="O41" s="31" t="s">
        <v>83</v>
      </c>
      <c r="P41" s="31"/>
      <c r="Q41" s="31"/>
      <c r="R41" s="31"/>
      <c r="S41" s="31"/>
    </row>
  </sheetData>
  <mergeCells count="22">
    <mergeCell ref="I26:N26"/>
    <mergeCell ref="G31:S31"/>
    <mergeCell ref="K38:L38"/>
    <mergeCell ref="K39:L39"/>
    <mergeCell ref="I21:N21"/>
    <mergeCell ref="H12:M12"/>
    <mergeCell ref="I13:M13"/>
    <mergeCell ref="L14:M14"/>
    <mergeCell ref="I20:N20"/>
    <mergeCell ref="I24:N24"/>
    <mergeCell ref="I23:N23"/>
    <mergeCell ref="I22:N22"/>
    <mergeCell ref="H6:S6"/>
    <mergeCell ref="H10:M10"/>
    <mergeCell ref="Q10:R10"/>
    <mergeCell ref="H11:M11"/>
    <mergeCell ref="Q11:R11"/>
    <mergeCell ref="G1:S1"/>
    <mergeCell ref="G2:S2"/>
    <mergeCell ref="G3:S3"/>
    <mergeCell ref="G4:S4"/>
    <mergeCell ref="G5:S5"/>
  </mergeCells>
  <dataValidations count="2">
    <dataValidation allowBlank="1" showInputMessage="1" sqref="H10:M10" xr:uid="{00000000-0002-0000-0200-000000000000}"/>
    <dataValidation allowBlank="1" showInputMessage="1" showErrorMessage="1" sqref="I20:I27 J20 J24:J27" xr:uid="{00000000-0002-0000-0200-000001000000}"/>
  </dataValidations>
  <pageMargins left="0.44" right="0" top="0.31" bottom="0" header="0.31496062992126" footer="0.31496062992126"/>
  <pageSetup paperSize="9" scale="62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:S59"/>
  <sheetViews>
    <sheetView zoomScale="55" zoomScaleNormal="55" workbookViewId="0">
      <selection activeCell="X32" sqref="X32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3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16384" width="9.109375" style="1"/>
  </cols>
  <sheetData>
    <row r="1" spans="5:19" ht="53.4" customHeight="1">
      <c r="G1" s="99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5:19" ht="29.4">
      <c r="G2" s="122" t="s">
        <v>70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5:19" ht="24.6">
      <c r="G3" s="124" t="s">
        <v>71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</row>
    <row r="4" spans="5:19" ht="24.6">
      <c r="G4" s="124" t="s">
        <v>72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</row>
    <row r="5" spans="5:19" ht="24.6">
      <c r="G5" s="124" t="s">
        <v>73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</row>
    <row r="6" spans="5:19" ht="24.6">
      <c r="G6" s="3"/>
      <c r="H6" s="126" t="s">
        <v>74</v>
      </c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</row>
    <row r="7" spans="5:19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5:19" ht="30.7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75</v>
      </c>
      <c r="Q8" s="48"/>
      <c r="R8" s="49"/>
      <c r="S8" s="4"/>
    </row>
    <row r="9" spans="5:19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</row>
    <row r="10" spans="5:19" ht="20.399999999999999">
      <c r="E10" s="7" t="s">
        <v>5</v>
      </c>
      <c r="F10" s="8" t="str">
        <f>IFERROR(MATCH(H10,Cust_ddown,0)+4,"")</f>
        <v/>
      </c>
      <c r="G10" s="5"/>
      <c r="H10" s="102" t="s">
        <v>76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02" t="s">
        <v>84</v>
      </c>
      <c r="R10" s="102"/>
      <c r="S10" s="5"/>
    </row>
    <row r="11" spans="5:19" ht="20.399999999999999">
      <c r="G11" s="5"/>
      <c r="H11" s="102" t="s">
        <v>85</v>
      </c>
      <c r="I11" s="102"/>
      <c r="J11" s="102"/>
      <c r="K11" s="102"/>
      <c r="L11" s="102"/>
      <c r="M11" s="102"/>
      <c r="N11" s="5"/>
      <c r="O11" s="26"/>
      <c r="P11" s="27" t="s">
        <v>10</v>
      </c>
      <c r="Q11" s="103">
        <v>45212</v>
      </c>
      <c r="R11" s="103"/>
      <c r="S11" s="5"/>
    </row>
    <row r="12" spans="5:19" ht="20.399999999999999">
      <c r="G12" s="5"/>
      <c r="H12" s="104" t="s">
        <v>86</v>
      </c>
      <c r="I12" s="104"/>
      <c r="J12" s="104"/>
      <c r="K12" s="104"/>
      <c r="L12" s="104"/>
      <c r="M12" s="104"/>
      <c r="N12" s="5"/>
      <c r="O12" s="26"/>
      <c r="P12" s="27" t="s">
        <v>12</v>
      </c>
      <c r="Q12" s="6" t="s">
        <v>13</v>
      </c>
      <c r="R12" s="5"/>
      <c r="S12" s="26"/>
    </row>
    <row r="13" spans="5:19" ht="20.399999999999999">
      <c r="G13" s="5"/>
      <c r="H13" s="104"/>
      <c r="I13" s="104"/>
      <c r="J13" s="104"/>
      <c r="K13" s="104"/>
      <c r="L13" s="104"/>
      <c r="M13" s="104"/>
      <c r="N13" s="5"/>
      <c r="O13" s="26"/>
      <c r="P13" s="27" t="s">
        <v>16</v>
      </c>
      <c r="Q13" s="6" t="s">
        <v>17</v>
      </c>
      <c r="R13" s="27"/>
      <c r="S13" s="5"/>
    </row>
    <row r="14" spans="5:19" ht="20.399999999999999">
      <c r="G14" s="5"/>
      <c r="H14" s="6" t="s">
        <v>14</v>
      </c>
      <c r="I14" s="105"/>
      <c r="J14" s="105"/>
      <c r="K14" s="105"/>
      <c r="L14" s="105"/>
      <c r="M14" s="105"/>
      <c r="N14" s="5"/>
      <c r="O14" s="26"/>
      <c r="P14" s="27"/>
      <c r="Q14" s="6"/>
      <c r="R14" s="27"/>
      <c r="S14" s="5"/>
    </row>
    <row r="15" spans="5:19" ht="20.399999999999999">
      <c r="G15" s="5"/>
      <c r="H15" s="5" t="s">
        <v>18</v>
      </c>
      <c r="I15" s="5" t="s">
        <v>87</v>
      </c>
      <c r="J15" s="5"/>
      <c r="K15" s="27" t="s">
        <v>20</v>
      </c>
      <c r="L15" s="106"/>
      <c r="M15" s="106"/>
      <c r="N15" s="5"/>
      <c r="O15" s="26"/>
      <c r="P15" s="27"/>
      <c r="Q15" s="27"/>
      <c r="R15" s="27"/>
      <c r="S15" s="5"/>
    </row>
    <row r="16" spans="5:19" ht="20.399999999999999">
      <c r="G16" s="5"/>
      <c r="H16" s="5" t="s">
        <v>77</v>
      </c>
      <c r="I16" s="5" t="s">
        <v>78</v>
      </c>
      <c r="J16" s="5"/>
      <c r="K16" s="6"/>
      <c r="L16" s="6"/>
      <c r="M16" s="6"/>
      <c r="N16" s="5"/>
      <c r="O16" s="5"/>
      <c r="P16" s="26"/>
      <c r="Q16" s="26"/>
      <c r="R16" s="26"/>
      <c r="S16" s="26"/>
    </row>
    <row r="17" spans="7:19" ht="20.399999999999999">
      <c r="G17" s="38"/>
      <c r="H17" s="5"/>
      <c r="I17" s="5"/>
      <c r="J17" s="5"/>
      <c r="K17" s="6"/>
      <c r="L17" s="6"/>
      <c r="M17" s="6"/>
      <c r="N17" s="5"/>
      <c r="O17" s="6"/>
      <c r="P17" s="5"/>
      <c r="Q17" s="5"/>
      <c r="R17" s="5"/>
      <c r="S17" s="38"/>
    </row>
    <row r="18" spans="7:19" ht="14.4" customHeight="1">
      <c r="G18" s="38"/>
      <c r="H18" s="6"/>
      <c r="I18" s="6"/>
      <c r="J18" s="6"/>
      <c r="K18" s="6"/>
      <c r="L18" s="6"/>
      <c r="M18" s="6"/>
      <c r="N18" s="5"/>
      <c r="O18" s="6"/>
      <c r="P18" s="5"/>
      <c r="Q18" s="5"/>
      <c r="R18" s="5"/>
      <c r="S18" s="38"/>
    </row>
    <row r="19" spans="7:19" ht="20.399999999999999">
      <c r="G19" s="5"/>
      <c r="H19" s="5"/>
      <c r="I19" s="5"/>
      <c r="J19" s="5"/>
      <c r="K19" s="6"/>
      <c r="L19" s="6"/>
      <c r="M19" s="6"/>
      <c r="N19" s="11"/>
      <c r="O19" s="5"/>
      <c r="P19" s="5"/>
      <c r="Q19" s="5"/>
      <c r="R19" s="5"/>
      <c r="S19" s="5"/>
    </row>
    <row r="20" spans="7:19" ht="20.399999999999999">
      <c r="G20" s="5"/>
      <c r="H20" s="6"/>
      <c r="I20" s="5"/>
      <c r="J20" s="5"/>
      <c r="K20" s="6"/>
      <c r="L20" s="6"/>
      <c r="M20" s="6"/>
      <c r="N20" s="6"/>
      <c r="O20" s="5"/>
      <c r="P20" s="5"/>
      <c r="Q20" s="5"/>
      <c r="R20" s="5"/>
      <c r="S20" s="5"/>
    </row>
    <row r="21" spans="7:19" ht="20.399999999999999">
      <c r="G21" s="5"/>
      <c r="H21" s="10" t="s">
        <v>21</v>
      </c>
      <c r="I21" s="6" t="s">
        <v>22</v>
      </c>
      <c r="J21" s="6"/>
      <c r="K21" s="6"/>
      <c r="L21" s="6"/>
      <c r="M21" s="6"/>
      <c r="N21" s="6"/>
      <c r="O21" s="6" t="s">
        <v>23</v>
      </c>
      <c r="P21" s="6" t="s">
        <v>24</v>
      </c>
      <c r="Q21" s="6" t="s">
        <v>25</v>
      </c>
      <c r="R21" s="5" t="s">
        <v>26</v>
      </c>
      <c r="S21" s="5" t="s">
        <v>27</v>
      </c>
    </row>
    <row r="22" spans="7:19" ht="20.399999999999999">
      <c r="G22" s="5"/>
      <c r="H22" s="10"/>
      <c r="I22" s="5"/>
      <c r="J22" s="5"/>
      <c r="K22" s="6"/>
      <c r="L22" s="6"/>
      <c r="M22" s="6"/>
      <c r="N22" s="6"/>
      <c r="O22" s="6"/>
      <c r="P22" s="27"/>
      <c r="Q22" s="27"/>
      <c r="R22" s="5"/>
      <c r="S22" s="5"/>
    </row>
    <row r="23" spans="7:19" ht="20.399999999999999">
      <c r="G23" s="5"/>
      <c r="H23" s="10"/>
      <c r="I23" s="5"/>
      <c r="J23" s="5"/>
      <c r="K23" s="6"/>
      <c r="L23" s="6"/>
      <c r="M23" s="6"/>
      <c r="N23" s="6"/>
      <c r="O23" s="6"/>
      <c r="P23" s="27"/>
      <c r="Q23" s="27"/>
      <c r="R23" s="5"/>
      <c r="S23" s="5"/>
    </row>
    <row r="24" spans="7:19" ht="63.75" customHeight="1">
      <c r="G24" s="5"/>
      <c r="H24" s="37">
        <v>1</v>
      </c>
      <c r="I24" s="134" t="s">
        <v>88</v>
      </c>
      <c r="J24" s="134"/>
      <c r="K24" s="134"/>
      <c r="L24" s="134"/>
      <c r="M24" s="134"/>
      <c r="N24" s="134"/>
      <c r="O24" s="46">
        <v>1</v>
      </c>
      <c r="P24" s="11" t="s">
        <v>29</v>
      </c>
      <c r="Q24" s="34">
        <v>1500</v>
      </c>
      <c r="R24" s="50"/>
      <c r="S24" s="50">
        <f>(O24*Q24)-R24</f>
        <v>1500</v>
      </c>
    </row>
    <row r="25" spans="7:19" ht="30" customHeight="1">
      <c r="G25" s="5"/>
      <c r="H25" s="37">
        <v>2</v>
      </c>
      <c r="I25" s="108" t="s">
        <v>89</v>
      </c>
      <c r="J25" s="108"/>
      <c r="K25" s="108"/>
      <c r="L25" s="108"/>
      <c r="M25" s="108"/>
      <c r="N25" s="108"/>
      <c r="O25" s="46">
        <v>1</v>
      </c>
      <c r="P25" s="11" t="s">
        <v>90</v>
      </c>
      <c r="Q25" s="34">
        <v>50</v>
      </c>
      <c r="R25" s="50"/>
      <c r="S25" s="50">
        <f>(O25*Q25)-R25</f>
        <v>50</v>
      </c>
    </row>
    <row r="26" spans="7:19" ht="23.1" customHeight="1">
      <c r="G26" s="5"/>
      <c r="H26" s="37"/>
      <c r="I26" s="108"/>
      <c r="J26" s="108"/>
      <c r="K26" s="108"/>
      <c r="L26" s="108"/>
      <c r="M26" s="108"/>
      <c r="N26" s="108"/>
      <c r="O26" s="46"/>
      <c r="P26" s="11"/>
      <c r="Q26" s="34"/>
      <c r="R26" s="50"/>
      <c r="S26" s="50"/>
    </row>
    <row r="27" spans="7:19" ht="23.1" customHeight="1">
      <c r="G27" s="5"/>
      <c r="H27" s="37"/>
      <c r="I27" s="108"/>
      <c r="J27" s="108"/>
      <c r="K27" s="108"/>
      <c r="L27" s="108"/>
      <c r="M27" s="108"/>
      <c r="N27" s="108"/>
      <c r="O27" s="46"/>
      <c r="P27" s="11"/>
      <c r="Q27" s="34"/>
      <c r="R27" s="50"/>
      <c r="S27" s="50"/>
    </row>
    <row r="28" spans="7:19" ht="23.1" customHeight="1">
      <c r="G28" s="5"/>
      <c r="H28" s="37"/>
      <c r="I28" s="108"/>
      <c r="J28" s="108"/>
      <c r="K28" s="108"/>
      <c r="L28" s="108"/>
      <c r="M28" s="108"/>
      <c r="N28" s="108"/>
      <c r="O28" s="46"/>
      <c r="P28" s="11"/>
      <c r="Q28" s="34"/>
      <c r="R28" s="50"/>
      <c r="S28" s="50"/>
    </row>
    <row r="29" spans="7:19" ht="23.1" customHeight="1">
      <c r="G29" s="5"/>
      <c r="H29" s="37"/>
      <c r="I29" s="108"/>
      <c r="J29" s="108"/>
      <c r="K29" s="108"/>
      <c r="L29" s="108"/>
      <c r="M29" s="108"/>
      <c r="N29" s="108"/>
      <c r="O29" s="46"/>
      <c r="P29" s="11"/>
      <c r="Q29" s="34"/>
      <c r="R29" s="50"/>
      <c r="S29" s="50"/>
    </row>
    <row r="30" spans="7:19" ht="23.1" customHeight="1">
      <c r="G30" s="5"/>
      <c r="H30" s="37"/>
      <c r="I30" s="108"/>
      <c r="J30" s="108"/>
      <c r="K30" s="108"/>
      <c r="L30" s="108"/>
      <c r="M30" s="108"/>
      <c r="N30" s="108"/>
      <c r="O30" s="46"/>
      <c r="P30" s="11"/>
      <c r="Q30" s="34"/>
      <c r="R30" s="50"/>
      <c r="S30" s="50"/>
    </row>
    <row r="31" spans="7:19" ht="23.1" customHeight="1">
      <c r="G31" s="5"/>
      <c r="H31" s="37"/>
      <c r="I31" s="11"/>
      <c r="J31" s="11"/>
      <c r="K31" s="11"/>
      <c r="L31" s="11"/>
      <c r="M31" s="11"/>
      <c r="N31" s="11"/>
      <c r="O31" s="46"/>
      <c r="P31" s="11"/>
      <c r="Q31" s="34"/>
      <c r="R31" s="50"/>
      <c r="S31" s="50"/>
    </row>
    <row r="32" spans="7:19" ht="23.1" customHeight="1">
      <c r="G32" s="5"/>
      <c r="H32" s="37"/>
      <c r="I32" s="11"/>
      <c r="J32" s="11"/>
      <c r="K32" s="11"/>
      <c r="L32" s="11"/>
      <c r="M32" s="11"/>
      <c r="N32" s="11"/>
      <c r="O32" s="46"/>
      <c r="P32" s="11"/>
      <c r="Q32" s="34"/>
      <c r="R32" s="50"/>
      <c r="S32" s="50"/>
    </row>
    <row r="33" spans="7:19" ht="23.1" customHeight="1">
      <c r="G33" s="5"/>
      <c r="H33" s="37"/>
      <c r="I33" s="11"/>
      <c r="J33" s="11"/>
      <c r="K33" s="11"/>
      <c r="L33" s="11"/>
      <c r="M33" s="11"/>
      <c r="N33" s="11"/>
      <c r="O33" s="46"/>
      <c r="P33" s="11"/>
      <c r="Q33" s="34"/>
      <c r="R33" s="50"/>
      <c r="S33" s="50"/>
    </row>
    <row r="34" spans="7:19" ht="23.1" customHeight="1">
      <c r="G34" s="5"/>
      <c r="H34" s="37"/>
      <c r="I34" s="11"/>
      <c r="J34" s="11"/>
      <c r="K34" s="11"/>
      <c r="L34" s="11"/>
      <c r="M34" s="11"/>
      <c r="N34" s="11"/>
      <c r="O34" s="46"/>
      <c r="P34" s="11"/>
      <c r="Q34" s="34"/>
      <c r="R34" s="50"/>
      <c r="S34" s="50"/>
    </row>
    <row r="35" spans="7:19" ht="23.1" customHeight="1">
      <c r="G35" s="5"/>
      <c r="H35" s="37"/>
      <c r="I35" s="11"/>
      <c r="J35" s="11"/>
      <c r="K35" s="11"/>
      <c r="L35" s="11"/>
      <c r="M35" s="11"/>
      <c r="N35" s="11"/>
      <c r="O35" s="46"/>
      <c r="P35" s="11"/>
      <c r="Q35" s="34"/>
      <c r="R35" s="50"/>
      <c r="S35" s="50"/>
    </row>
    <row r="36" spans="7:19" ht="23.1" customHeight="1">
      <c r="G36" s="5"/>
      <c r="H36" s="37"/>
      <c r="I36" s="11"/>
      <c r="J36" s="11"/>
      <c r="K36" s="11"/>
      <c r="L36" s="11"/>
      <c r="M36" s="11"/>
      <c r="N36" s="11"/>
      <c r="O36" s="46"/>
      <c r="P36" s="11"/>
      <c r="Q36" s="34"/>
      <c r="R36" s="50"/>
      <c r="S36" s="50"/>
    </row>
    <row r="37" spans="7:19" ht="23.1" customHeight="1">
      <c r="G37" s="5"/>
      <c r="H37" s="37"/>
      <c r="I37" s="11"/>
      <c r="J37" s="11"/>
      <c r="K37" s="11"/>
      <c r="L37" s="11"/>
      <c r="M37" s="11"/>
      <c r="N37" s="11"/>
      <c r="O37" s="46"/>
      <c r="P37" s="11"/>
      <c r="Q37" s="34"/>
      <c r="R37" s="50"/>
      <c r="S37" s="50"/>
    </row>
    <row r="38" spans="7:19" ht="23.1" customHeight="1">
      <c r="G38" s="5"/>
      <c r="H38" s="37"/>
      <c r="I38" s="108"/>
      <c r="J38" s="108"/>
      <c r="K38" s="108"/>
      <c r="L38" s="108"/>
      <c r="M38" s="108"/>
      <c r="N38" s="108"/>
      <c r="O38" s="46"/>
      <c r="P38" s="11"/>
      <c r="Q38" s="34"/>
      <c r="R38" s="50"/>
      <c r="S38" s="50"/>
    </row>
    <row r="39" spans="7:19" ht="23.1" customHeight="1">
      <c r="G39" s="5"/>
      <c r="H39" s="37"/>
      <c r="I39" s="108"/>
      <c r="J39" s="108"/>
      <c r="K39" s="108"/>
      <c r="L39" s="108"/>
      <c r="M39" s="108"/>
      <c r="N39" s="108"/>
      <c r="O39" s="46"/>
      <c r="P39" s="11"/>
      <c r="Q39" s="34"/>
      <c r="R39" s="50"/>
      <c r="S39" s="50"/>
    </row>
    <row r="40" spans="7:19" ht="23.1" customHeight="1">
      <c r="G40" s="5"/>
      <c r="H40" s="37"/>
      <c r="I40" s="108"/>
      <c r="J40" s="108"/>
      <c r="K40" s="108"/>
      <c r="L40" s="108"/>
      <c r="M40" s="108"/>
      <c r="N40" s="108"/>
      <c r="O40" s="46"/>
      <c r="P40" s="11"/>
      <c r="Q40" s="34"/>
      <c r="R40" s="50"/>
      <c r="S40" s="50"/>
    </row>
    <row r="41" spans="7:19" ht="23.1" customHeight="1">
      <c r="G41" s="5"/>
      <c r="H41" s="37"/>
      <c r="I41" s="108"/>
      <c r="J41" s="108"/>
      <c r="K41" s="108"/>
      <c r="L41" s="108"/>
      <c r="M41" s="108"/>
      <c r="N41" s="108"/>
      <c r="O41" s="46"/>
      <c r="P41" s="11"/>
      <c r="Q41" s="34"/>
      <c r="R41" s="50"/>
      <c r="S41" s="50"/>
    </row>
    <row r="42" spans="7:19" ht="23.1" customHeight="1">
      <c r="G42" s="28"/>
      <c r="H42" s="37"/>
      <c r="I42" s="108"/>
      <c r="J42" s="108"/>
      <c r="K42" s="108"/>
      <c r="L42" s="108"/>
      <c r="M42" s="108"/>
      <c r="N42" s="108"/>
      <c r="O42" s="46"/>
      <c r="P42" s="11"/>
      <c r="Q42" s="34"/>
      <c r="R42" s="50"/>
      <c r="S42" s="50"/>
    </row>
    <row r="43" spans="7:19" ht="20.399999999999999">
      <c r="G43" s="5"/>
      <c r="H43" s="5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7:19" ht="20.100000000000001" customHeight="1">
      <c r="G44" s="5"/>
      <c r="H44" s="12" t="s">
        <v>34</v>
      </c>
      <c r="I44" s="28" t="s">
        <v>91</v>
      </c>
      <c r="J44" s="28"/>
      <c r="K44" s="28"/>
      <c r="L44" s="28"/>
      <c r="M44" s="28"/>
      <c r="N44" s="28"/>
      <c r="O44" s="28"/>
      <c r="P44" s="28"/>
      <c r="Q44" s="28"/>
      <c r="R44" s="12" t="s">
        <v>36</v>
      </c>
      <c r="S44" s="51">
        <f>SUM(S24:S42)</f>
        <v>1550</v>
      </c>
    </row>
    <row r="45" spans="7:19" ht="6.75" customHeight="1">
      <c r="G45" s="13"/>
      <c r="H45" s="5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spans="7:19" ht="19.5" customHeight="1">
      <c r="G46" s="136" t="s">
        <v>79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</row>
    <row r="47" spans="7:19" ht="19.5" customHeight="1"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</row>
    <row r="48" spans="7:19" ht="20.399999999999999">
      <c r="G48" s="5"/>
      <c r="H48" s="5" t="s">
        <v>80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7:19" ht="20.399999999999999">
      <c r="G49" s="5"/>
      <c r="H49" s="5" t="s">
        <v>81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7:19" ht="11.4" customHeight="1">
      <c r="G50" s="26"/>
      <c r="H50" s="5"/>
      <c r="I50" s="5"/>
      <c r="J50" s="5"/>
      <c r="K50" s="5"/>
      <c r="L50" s="5"/>
      <c r="M50" s="5"/>
      <c r="N50" s="5"/>
      <c r="O50" s="38"/>
      <c r="P50" s="38"/>
      <c r="Q50" s="38"/>
      <c r="R50" s="38"/>
      <c r="S50" s="38"/>
    </row>
    <row r="51" spans="7:19" ht="20.399999999999999">
      <c r="G51" s="26"/>
      <c r="H51" s="5" t="s">
        <v>38</v>
      </c>
      <c r="I51" s="5"/>
      <c r="J51" s="5"/>
      <c r="K51" s="5"/>
      <c r="L51" s="5"/>
      <c r="M51" s="5"/>
      <c r="N51" s="5"/>
      <c r="O51" s="5" t="s">
        <v>82</v>
      </c>
      <c r="P51" s="38"/>
      <c r="Q51" s="38"/>
      <c r="R51" s="38"/>
      <c r="S51" s="38"/>
    </row>
    <row r="52" spans="7:19" ht="20.399999999999999">
      <c r="G52" s="2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7:19" ht="20.399999999999999"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7:19" ht="20.399999999999999">
      <c r="G54" s="26"/>
      <c r="H54" s="5"/>
      <c r="I54" s="5"/>
      <c r="J54" s="5"/>
      <c r="K54" s="107"/>
      <c r="L54" s="107"/>
      <c r="M54" s="5"/>
      <c r="N54" s="5"/>
      <c r="O54" s="5"/>
      <c r="P54" s="5"/>
      <c r="Q54" s="5"/>
      <c r="R54" s="5"/>
      <c r="S54" s="5"/>
    </row>
    <row r="55" spans="7:19" ht="20.399999999999999">
      <c r="G55" s="16"/>
      <c r="H55" s="44"/>
      <c r="I55" s="44"/>
      <c r="J55" s="44"/>
      <c r="K55" s="107"/>
      <c r="L55" s="107"/>
      <c r="M55" s="44"/>
      <c r="N55" s="17"/>
      <c r="O55" s="44"/>
      <c r="P55" s="44"/>
      <c r="Q55" s="44"/>
      <c r="R55" s="44"/>
      <c r="S55" s="44"/>
    </row>
    <row r="56" spans="7:19" ht="19.8">
      <c r="G56" s="16"/>
      <c r="H56" s="17" t="s">
        <v>41</v>
      </c>
      <c r="I56" s="17"/>
      <c r="J56" s="17"/>
      <c r="K56" s="17"/>
      <c r="L56" s="17"/>
      <c r="M56" s="17"/>
      <c r="N56" s="17"/>
      <c r="O56" s="95" t="s">
        <v>42</v>
      </c>
      <c r="P56" s="17"/>
      <c r="Q56" s="17"/>
      <c r="R56" s="17"/>
      <c r="S56" s="17"/>
    </row>
    <row r="57" spans="7:19" ht="19.8">
      <c r="G57" s="16"/>
      <c r="H57" s="31" t="s">
        <v>43</v>
      </c>
      <c r="I57" s="47"/>
      <c r="J57" s="47"/>
      <c r="K57" s="47"/>
      <c r="L57" s="47"/>
      <c r="M57" s="47"/>
      <c r="N57" s="17"/>
      <c r="O57" s="31" t="s">
        <v>83</v>
      </c>
      <c r="P57" s="31"/>
      <c r="Q57" s="31"/>
      <c r="R57" s="31"/>
      <c r="S57" s="31"/>
    </row>
    <row r="58" spans="7:19" ht="19.8"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7:19" ht="19.2"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</sheetData>
  <mergeCells count="28">
    <mergeCell ref="K54:L54"/>
    <mergeCell ref="K55:L55"/>
    <mergeCell ref="H12:M13"/>
    <mergeCell ref="I39:N39"/>
    <mergeCell ref="I40:N40"/>
    <mergeCell ref="I41:N41"/>
    <mergeCell ref="I42:N42"/>
    <mergeCell ref="G46:S46"/>
    <mergeCell ref="I27:N27"/>
    <mergeCell ref="I28:N28"/>
    <mergeCell ref="I29:N29"/>
    <mergeCell ref="I30:N30"/>
    <mergeCell ref="I38:N38"/>
    <mergeCell ref="I14:M14"/>
    <mergeCell ref="L15:M15"/>
    <mergeCell ref="I24:N24"/>
    <mergeCell ref="I25:N25"/>
    <mergeCell ref="I26:N26"/>
    <mergeCell ref="H6:S6"/>
    <mergeCell ref="H10:M10"/>
    <mergeCell ref="Q10:R10"/>
    <mergeCell ref="H11:M11"/>
    <mergeCell ref="Q11:R11"/>
    <mergeCell ref="G1:S1"/>
    <mergeCell ref="G2:S2"/>
    <mergeCell ref="G3:S3"/>
    <mergeCell ref="G4:S4"/>
    <mergeCell ref="G5:S5"/>
  </mergeCells>
  <dataValidations count="2">
    <dataValidation allowBlank="1" showInputMessage="1" sqref="H10:M10" xr:uid="{00000000-0002-0000-0300-000000000000}"/>
    <dataValidation allowBlank="1" showInputMessage="1" showErrorMessage="1" sqref="I24:I42 J25:J42" xr:uid="{00000000-0002-0000-0300-000001000000}"/>
  </dataValidations>
  <pageMargins left="0.44" right="0" top="0.31" bottom="0" header="0.31496062992126" footer="0.31496062992126"/>
  <pageSetup paperSize="9" scale="62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1:T61"/>
  <sheetViews>
    <sheetView topLeftCell="A7" zoomScale="60" zoomScaleNormal="60" workbookViewId="0">
      <selection activeCell="P59" sqref="P59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46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75</v>
      </c>
      <c r="Q8" s="48"/>
      <c r="R8" s="49"/>
      <c r="S8" s="4"/>
      <c r="T8" s="4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IFERROR(MATCH(H10,Cust_ddown,0)+4,"")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02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</v>
      </c>
      <c r="Q12" s="6"/>
      <c r="R12" s="5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16</v>
      </c>
      <c r="Q13" s="106" t="s">
        <v>17</v>
      </c>
      <c r="R13" s="106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6"/>
      <c r="Q14" s="26"/>
      <c r="R14" s="27"/>
      <c r="S14" s="5"/>
      <c r="T14" s="5"/>
    </row>
    <row r="15" spans="5:20" ht="20.399999999999999">
      <c r="G15" s="5"/>
      <c r="H15" s="5" t="s">
        <v>18</v>
      </c>
      <c r="I15" s="5"/>
      <c r="J15" s="5"/>
      <c r="K15" s="27" t="s">
        <v>20</v>
      </c>
      <c r="L15" s="106"/>
      <c r="M15" s="106"/>
      <c r="N15" s="5"/>
      <c r="O15" s="26"/>
      <c r="P15" s="27"/>
      <c r="Q15" s="27"/>
      <c r="R15" s="27"/>
      <c r="S15" s="5"/>
      <c r="T15" s="5"/>
    </row>
    <row r="16" spans="5:20" ht="20.399999999999999">
      <c r="G16" s="5"/>
      <c r="H16" s="5" t="s">
        <v>77</v>
      </c>
      <c r="I16" s="5"/>
      <c r="J16" s="5"/>
      <c r="K16" s="6"/>
      <c r="L16" s="6"/>
      <c r="M16" s="6"/>
      <c r="N16" s="5"/>
      <c r="O16" s="5"/>
      <c r="P16" s="26"/>
      <c r="Q16" s="26"/>
      <c r="R16" s="26"/>
      <c r="S16" s="26"/>
      <c r="T16" s="5"/>
    </row>
    <row r="17" spans="5:20" ht="20.399999999999999">
      <c r="G17" s="38"/>
      <c r="H17" s="5"/>
      <c r="I17" s="5"/>
      <c r="J17" s="5"/>
      <c r="K17" s="6"/>
      <c r="L17" s="6"/>
      <c r="M17" s="6"/>
      <c r="N17" s="5"/>
      <c r="O17" s="6"/>
      <c r="P17" s="5"/>
      <c r="Q17" s="5"/>
      <c r="R17" s="5"/>
      <c r="S17" s="38"/>
      <c r="T17" s="38"/>
    </row>
    <row r="18" spans="5:20" ht="20.399999999999999">
      <c r="G18" s="38"/>
      <c r="H18" s="6"/>
      <c r="I18" s="6"/>
      <c r="J18" s="6"/>
      <c r="K18" s="6"/>
      <c r="L18" s="6"/>
      <c r="M18" s="6"/>
      <c r="N18" s="5"/>
      <c r="O18" s="6"/>
      <c r="P18" s="5"/>
      <c r="Q18" s="5"/>
      <c r="R18" s="5"/>
      <c r="S18" s="38"/>
      <c r="T18" s="38"/>
    </row>
    <row r="19" spans="5:20" ht="20.399999999999999">
      <c r="G19" s="5"/>
      <c r="H19" s="5"/>
      <c r="I19" s="5"/>
      <c r="J19" s="5"/>
      <c r="K19" s="6"/>
      <c r="L19" s="6"/>
      <c r="M19" s="6"/>
      <c r="N19" s="11"/>
      <c r="O19" s="5"/>
      <c r="P19" s="5"/>
      <c r="Q19" s="5"/>
      <c r="R19" s="5"/>
      <c r="S19" s="5"/>
      <c r="T19" s="5"/>
    </row>
    <row r="20" spans="5:20" ht="20.399999999999999">
      <c r="G20" s="5"/>
      <c r="H20" s="6"/>
      <c r="I20" s="5"/>
      <c r="J20" s="5"/>
      <c r="K20" s="6"/>
      <c r="L20" s="6"/>
      <c r="M20" s="6"/>
      <c r="N20" s="6"/>
      <c r="O20" s="5"/>
      <c r="P20" s="5"/>
      <c r="Q20" s="5"/>
      <c r="R20" s="5"/>
      <c r="S20" s="5"/>
      <c r="T20" s="5"/>
    </row>
    <row r="21" spans="5:20" ht="20.399999999999999">
      <c r="G21" s="5"/>
      <c r="H21" s="10" t="s">
        <v>21</v>
      </c>
      <c r="I21" s="6" t="s">
        <v>22</v>
      </c>
      <c r="J21" s="6"/>
      <c r="K21" s="6"/>
      <c r="L21" s="6"/>
      <c r="M21" s="6"/>
      <c r="N21" s="6"/>
      <c r="O21" s="6" t="s">
        <v>23</v>
      </c>
      <c r="P21" s="6" t="s">
        <v>24</v>
      </c>
      <c r="Q21" s="6" t="s">
        <v>25</v>
      </c>
      <c r="R21" s="5" t="s">
        <v>26</v>
      </c>
      <c r="S21" s="5" t="s">
        <v>27</v>
      </c>
      <c r="T21" s="5"/>
    </row>
    <row r="22" spans="5:20" ht="20.399999999999999">
      <c r="G22" s="5"/>
      <c r="H22" s="10"/>
      <c r="I22" s="5"/>
      <c r="J22" s="5"/>
      <c r="K22" s="6"/>
      <c r="L22" s="6"/>
      <c r="M22" s="6"/>
      <c r="N22" s="6"/>
      <c r="O22" s="6"/>
      <c r="P22" s="27"/>
      <c r="Q22" s="27"/>
      <c r="R22" s="5"/>
      <c r="S22" s="5"/>
      <c r="T22" s="5"/>
    </row>
    <row r="23" spans="5:20" ht="23.1" customHeight="1">
      <c r="E23" s="7"/>
      <c r="F23" s="8" t="str">
        <f>IFERROR(MATCH(I23,Prod_ddown,0)+4,"")</f>
        <v/>
      </c>
      <c r="G23" s="5"/>
      <c r="H23" s="37">
        <v>1</v>
      </c>
      <c r="I23" s="108"/>
      <c r="J23" s="108"/>
      <c r="K23" s="108"/>
      <c r="L23" s="108"/>
      <c r="M23" s="108"/>
      <c r="N23" s="108"/>
      <c r="O23" s="46"/>
      <c r="P23" s="11"/>
      <c r="Q23" s="34"/>
      <c r="R23" s="50"/>
      <c r="S23" s="50">
        <f>(O23*Q23)-R23</f>
        <v>0</v>
      </c>
      <c r="T23" s="5"/>
    </row>
    <row r="24" spans="5:20" ht="23.1" customHeight="1">
      <c r="F24" s="8" t="str">
        <f>IFERROR(MATCH(I24,Prod_ddown,0)+4,"")</f>
        <v/>
      </c>
      <c r="G24" s="5"/>
      <c r="H24" s="37">
        <v>2</v>
      </c>
      <c r="I24" s="108"/>
      <c r="J24" s="108"/>
      <c r="K24" s="108"/>
      <c r="L24" s="108"/>
      <c r="M24" s="108"/>
      <c r="N24" s="108"/>
      <c r="O24" s="46"/>
      <c r="P24" s="11"/>
      <c r="Q24" s="34"/>
      <c r="R24" s="50"/>
      <c r="S24" s="50">
        <f t="shared" ref="S24:S47" si="0">(O24*Q24)-R24</f>
        <v>0</v>
      </c>
      <c r="T24" s="5"/>
    </row>
    <row r="25" spans="5:20" ht="23.1" customHeight="1">
      <c r="G25" s="5"/>
      <c r="H25" s="37">
        <v>3</v>
      </c>
      <c r="I25" s="108"/>
      <c r="J25" s="108"/>
      <c r="K25" s="108"/>
      <c r="L25" s="108"/>
      <c r="M25" s="108"/>
      <c r="N25" s="108"/>
      <c r="O25" s="46"/>
      <c r="P25" s="11"/>
      <c r="Q25" s="34"/>
      <c r="R25" s="50"/>
      <c r="S25" s="50">
        <f t="shared" si="0"/>
        <v>0</v>
      </c>
      <c r="T25" s="5"/>
    </row>
    <row r="26" spans="5:20" ht="23.1" customHeight="1">
      <c r="G26" s="5"/>
      <c r="H26" s="37">
        <v>4</v>
      </c>
      <c r="I26" s="108"/>
      <c r="J26" s="108"/>
      <c r="K26" s="108"/>
      <c r="L26" s="108"/>
      <c r="M26" s="108"/>
      <c r="N26" s="108"/>
      <c r="O26" s="46"/>
      <c r="P26" s="11"/>
      <c r="Q26" s="34"/>
      <c r="R26" s="50"/>
      <c r="S26" s="50">
        <f t="shared" si="0"/>
        <v>0</v>
      </c>
      <c r="T26" s="5"/>
    </row>
    <row r="27" spans="5:20" ht="23.1" customHeight="1">
      <c r="G27" s="5"/>
      <c r="H27" s="37">
        <v>5</v>
      </c>
      <c r="I27" s="108"/>
      <c r="J27" s="108"/>
      <c r="K27" s="108"/>
      <c r="L27" s="108"/>
      <c r="M27" s="108"/>
      <c r="N27" s="108"/>
      <c r="O27" s="46"/>
      <c r="P27" s="11"/>
      <c r="Q27" s="34"/>
      <c r="R27" s="50"/>
      <c r="S27" s="50">
        <f t="shared" si="0"/>
        <v>0</v>
      </c>
      <c r="T27" s="5"/>
    </row>
    <row r="28" spans="5:20" ht="23.1" customHeight="1">
      <c r="G28" s="5"/>
      <c r="H28" s="37">
        <v>6</v>
      </c>
      <c r="I28" s="108"/>
      <c r="J28" s="108"/>
      <c r="K28" s="108"/>
      <c r="L28" s="108"/>
      <c r="M28" s="108"/>
      <c r="N28" s="108"/>
      <c r="O28" s="46"/>
      <c r="P28" s="11"/>
      <c r="Q28" s="34"/>
      <c r="R28" s="50"/>
      <c r="S28" s="50">
        <f t="shared" si="0"/>
        <v>0</v>
      </c>
      <c r="T28" s="5"/>
    </row>
    <row r="29" spans="5:20" ht="23.1" customHeight="1">
      <c r="G29" s="5"/>
      <c r="H29" s="37">
        <v>7</v>
      </c>
      <c r="I29" s="108"/>
      <c r="J29" s="108"/>
      <c r="K29" s="108"/>
      <c r="L29" s="108"/>
      <c r="M29" s="108"/>
      <c r="N29" s="108"/>
      <c r="O29" s="46"/>
      <c r="P29" s="11"/>
      <c r="Q29" s="34"/>
      <c r="R29" s="50"/>
      <c r="S29" s="50">
        <f t="shared" si="0"/>
        <v>0</v>
      </c>
      <c r="T29" s="5"/>
    </row>
    <row r="30" spans="5:20" ht="23.1" customHeight="1">
      <c r="G30" s="5"/>
      <c r="H30" s="37">
        <v>8</v>
      </c>
      <c r="I30" s="108"/>
      <c r="J30" s="108"/>
      <c r="K30" s="108"/>
      <c r="L30" s="108"/>
      <c r="M30" s="108"/>
      <c r="N30" s="108"/>
      <c r="O30" s="46"/>
      <c r="P30" s="11"/>
      <c r="Q30" s="34"/>
      <c r="R30" s="50"/>
      <c r="S30" s="50">
        <f t="shared" si="0"/>
        <v>0</v>
      </c>
      <c r="T30" s="5"/>
    </row>
    <row r="31" spans="5:20" ht="23.1" customHeight="1">
      <c r="G31" s="5"/>
      <c r="H31" s="37">
        <v>9</v>
      </c>
      <c r="I31" s="108"/>
      <c r="J31" s="108"/>
      <c r="K31" s="108"/>
      <c r="L31" s="108"/>
      <c r="M31" s="108"/>
      <c r="N31" s="108"/>
      <c r="O31" s="46"/>
      <c r="P31" s="11"/>
      <c r="Q31" s="34"/>
      <c r="R31" s="50"/>
      <c r="S31" s="50">
        <f t="shared" si="0"/>
        <v>0</v>
      </c>
      <c r="T31" s="5"/>
    </row>
    <row r="32" spans="5:20" ht="23.1" customHeight="1">
      <c r="G32" s="5"/>
      <c r="H32" s="37">
        <v>10</v>
      </c>
      <c r="I32" s="108"/>
      <c r="J32" s="108"/>
      <c r="K32" s="108"/>
      <c r="L32" s="108"/>
      <c r="M32" s="108"/>
      <c r="N32" s="108"/>
      <c r="O32" s="46"/>
      <c r="P32" s="11"/>
      <c r="Q32" s="34"/>
      <c r="R32" s="50"/>
      <c r="S32" s="50">
        <f t="shared" si="0"/>
        <v>0</v>
      </c>
      <c r="T32" s="5"/>
    </row>
    <row r="33" spans="7:20" ht="23.1" customHeight="1">
      <c r="G33" s="5"/>
      <c r="H33" s="37">
        <v>11</v>
      </c>
      <c r="I33" s="108"/>
      <c r="J33" s="108"/>
      <c r="K33" s="108"/>
      <c r="L33" s="108"/>
      <c r="M33" s="108"/>
      <c r="N33" s="108"/>
      <c r="O33" s="46"/>
      <c r="P33" s="11"/>
      <c r="Q33" s="34"/>
      <c r="R33" s="50"/>
      <c r="S33" s="50">
        <f t="shared" si="0"/>
        <v>0</v>
      </c>
      <c r="T33" s="5"/>
    </row>
    <row r="34" spans="7:20" ht="23.1" customHeight="1">
      <c r="G34" s="5"/>
      <c r="H34" s="37">
        <v>12</v>
      </c>
      <c r="I34" s="108"/>
      <c r="J34" s="108"/>
      <c r="K34" s="108"/>
      <c r="L34" s="108"/>
      <c r="M34" s="108"/>
      <c r="N34" s="108"/>
      <c r="O34" s="46"/>
      <c r="P34" s="11"/>
      <c r="Q34" s="34"/>
      <c r="R34" s="50"/>
      <c r="S34" s="50">
        <f t="shared" si="0"/>
        <v>0</v>
      </c>
      <c r="T34" s="5"/>
    </row>
    <row r="35" spans="7:20" ht="23.1" customHeight="1">
      <c r="G35" s="5"/>
      <c r="H35" s="37">
        <v>13</v>
      </c>
      <c r="I35" s="108"/>
      <c r="J35" s="108"/>
      <c r="K35" s="108"/>
      <c r="L35" s="108"/>
      <c r="M35" s="108"/>
      <c r="N35" s="108"/>
      <c r="O35" s="46"/>
      <c r="P35" s="11"/>
      <c r="Q35" s="34"/>
      <c r="R35" s="50"/>
      <c r="S35" s="50">
        <f t="shared" si="0"/>
        <v>0</v>
      </c>
      <c r="T35" s="5"/>
    </row>
    <row r="36" spans="7:20" ht="23.1" customHeight="1">
      <c r="G36" s="5"/>
      <c r="H36" s="37">
        <v>14</v>
      </c>
      <c r="I36" s="108"/>
      <c r="J36" s="108"/>
      <c r="K36" s="108"/>
      <c r="L36" s="108"/>
      <c r="M36" s="108"/>
      <c r="N36" s="108"/>
      <c r="O36" s="46"/>
      <c r="P36" s="11"/>
      <c r="Q36" s="34"/>
      <c r="R36" s="50"/>
      <c r="S36" s="50">
        <f t="shared" si="0"/>
        <v>0</v>
      </c>
      <c r="T36" s="5"/>
    </row>
    <row r="37" spans="7:20" ht="23.1" customHeight="1">
      <c r="G37" s="5"/>
      <c r="H37" s="37">
        <v>15</v>
      </c>
      <c r="I37" s="108"/>
      <c r="J37" s="108"/>
      <c r="K37" s="108"/>
      <c r="L37" s="108"/>
      <c r="M37" s="108"/>
      <c r="N37" s="108"/>
      <c r="O37" s="46"/>
      <c r="P37" s="11"/>
      <c r="Q37" s="34"/>
      <c r="R37" s="50"/>
      <c r="S37" s="50">
        <f t="shared" si="0"/>
        <v>0</v>
      </c>
      <c r="T37" s="5"/>
    </row>
    <row r="38" spans="7:20" ht="23.1" customHeight="1">
      <c r="G38" s="5"/>
      <c r="H38" s="37">
        <v>16</v>
      </c>
      <c r="I38" s="108"/>
      <c r="J38" s="108"/>
      <c r="K38" s="108"/>
      <c r="L38" s="108"/>
      <c r="M38" s="108"/>
      <c r="N38" s="108"/>
      <c r="O38" s="46"/>
      <c r="P38" s="11"/>
      <c r="Q38" s="34"/>
      <c r="R38" s="50"/>
      <c r="S38" s="50">
        <f t="shared" si="0"/>
        <v>0</v>
      </c>
      <c r="T38" s="5"/>
    </row>
    <row r="39" spans="7:20" ht="23.1" customHeight="1">
      <c r="G39" s="5"/>
      <c r="H39" s="37">
        <v>17</v>
      </c>
      <c r="I39" s="108"/>
      <c r="J39" s="108"/>
      <c r="K39" s="108"/>
      <c r="L39" s="108"/>
      <c r="M39" s="108"/>
      <c r="N39" s="108"/>
      <c r="O39" s="46"/>
      <c r="P39" s="11"/>
      <c r="Q39" s="34"/>
      <c r="R39" s="50"/>
      <c r="S39" s="50">
        <f t="shared" si="0"/>
        <v>0</v>
      </c>
      <c r="T39" s="5"/>
    </row>
    <row r="40" spans="7:20" ht="23.1" customHeight="1">
      <c r="G40" s="5"/>
      <c r="H40" s="37">
        <v>18</v>
      </c>
      <c r="I40" s="108"/>
      <c r="J40" s="108"/>
      <c r="K40" s="108"/>
      <c r="L40" s="108"/>
      <c r="M40" s="108"/>
      <c r="N40" s="108"/>
      <c r="O40" s="46"/>
      <c r="P40" s="11"/>
      <c r="Q40" s="34"/>
      <c r="R40" s="50"/>
      <c r="S40" s="50">
        <f t="shared" si="0"/>
        <v>0</v>
      </c>
      <c r="T40" s="5"/>
    </row>
    <row r="41" spans="7:20" ht="23.1" customHeight="1">
      <c r="G41" s="28"/>
      <c r="H41" s="37">
        <v>19</v>
      </c>
      <c r="I41" s="108"/>
      <c r="J41" s="108"/>
      <c r="K41" s="108"/>
      <c r="L41" s="108"/>
      <c r="M41" s="108"/>
      <c r="N41" s="108"/>
      <c r="O41" s="46"/>
      <c r="P41" s="11"/>
      <c r="Q41" s="34"/>
      <c r="R41" s="50"/>
      <c r="S41" s="50">
        <f t="shared" si="0"/>
        <v>0</v>
      </c>
      <c r="T41" s="5"/>
    </row>
    <row r="42" spans="7:20" ht="23.1" customHeight="1">
      <c r="G42" s="28"/>
      <c r="H42" s="37">
        <v>20</v>
      </c>
      <c r="I42" s="108"/>
      <c r="J42" s="108"/>
      <c r="K42" s="108"/>
      <c r="L42" s="108"/>
      <c r="M42" s="108"/>
      <c r="N42" s="108"/>
      <c r="O42" s="46"/>
      <c r="P42" s="11"/>
      <c r="Q42" s="34"/>
      <c r="R42" s="50"/>
      <c r="S42" s="50">
        <f t="shared" si="0"/>
        <v>0</v>
      </c>
      <c r="T42" s="5"/>
    </row>
    <row r="43" spans="7:20" ht="23.1" customHeight="1">
      <c r="G43" s="28"/>
      <c r="H43" s="37">
        <v>21</v>
      </c>
      <c r="I43" s="108"/>
      <c r="J43" s="108"/>
      <c r="K43" s="108"/>
      <c r="L43" s="108"/>
      <c r="M43" s="108"/>
      <c r="N43" s="108"/>
      <c r="O43" s="46"/>
      <c r="P43" s="11"/>
      <c r="Q43" s="34"/>
      <c r="R43" s="50"/>
      <c r="S43" s="50">
        <f t="shared" si="0"/>
        <v>0</v>
      </c>
      <c r="T43" s="5"/>
    </row>
    <row r="44" spans="7:20" ht="23.1" customHeight="1">
      <c r="G44" s="28"/>
      <c r="H44" s="37">
        <v>22</v>
      </c>
      <c r="I44" s="108"/>
      <c r="J44" s="108"/>
      <c r="K44" s="108"/>
      <c r="L44" s="108"/>
      <c r="M44" s="108"/>
      <c r="N44" s="108"/>
      <c r="O44" s="46"/>
      <c r="P44" s="11"/>
      <c r="Q44" s="34"/>
      <c r="R44" s="50"/>
      <c r="S44" s="50">
        <f t="shared" si="0"/>
        <v>0</v>
      </c>
      <c r="T44" s="5"/>
    </row>
    <row r="45" spans="7:20" ht="23.1" customHeight="1">
      <c r="G45" s="28"/>
      <c r="H45" s="37">
        <v>23</v>
      </c>
      <c r="I45" s="108"/>
      <c r="J45" s="108"/>
      <c r="K45" s="108"/>
      <c r="L45" s="108"/>
      <c r="M45" s="108"/>
      <c r="N45" s="108"/>
      <c r="O45" s="46"/>
      <c r="P45" s="11"/>
      <c r="Q45" s="34"/>
      <c r="R45" s="50"/>
      <c r="S45" s="50">
        <f t="shared" si="0"/>
        <v>0</v>
      </c>
      <c r="T45" s="5"/>
    </row>
    <row r="46" spans="7:20" ht="23.1" customHeight="1">
      <c r="G46" s="5"/>
      <c r="H46" s="37">
        <v>24</v>
      </c>
      <c r="I46" s="108"/>
      <c r="J46" s="108"/>
      <c r="K46" s="108"/>
      <c r="L46" s="108"/>
      <c r="M46" s="108"/>
      <c r="N46" s="108"/>
      <c r="O46" s="46"/>
      <c r="P46" s="11"/>
      <c r="Q46" s="34"/>
      <c r="R46" s="50"/>
      <c r="S46" s="50">
        <f t="shared" si="0"/>
        <v>0</v>
      </c>
      <c r="T46" s="5"/>
    </row>
    <row r="47" spans="7:20" ht="23.1" customHeight="1">
      <c r="G47" s="5"/>
      <c r="H47" s="37">
        <v>25</v>
      </c>
      <c r="I47" s="108"/>
      <c r="J47" s="108"/>
      <c r="K47" s="108"/>
      <c r="L47" s="108"/>
      <c r="M47" s="108"/>
      <c r="N47" s="108"/>
      <c r="O47" s="46"/>
      <c r="P47" s="11"/>
      <c r="Q47" s="34"/>
      <c r="R47" s="50"/>
      <c r="S47" s="50">
        <f t="shared" si="0"/>
        <v>0</v>
      </c>
      <c r="T47" s="5"/>
    </row>
    <row r="48" spans="7:20" ht="20.399999999999999">
      <c r="G48" s="5"/>
      <c r="H48" s="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7:20" ht="20.100000000000001" customHeight="1">
      <c r="G49" s="5"/>
      <c r="H49" s="12" t="s">
        <v>34</v>
      </c>
      <c r="I49" s="28"/>
      <c r="J49" s="28"/>
      <c r="K49" s="28"/>
      <c r="L49" s="28"/>
      <c r="M49" s="28"/>
      <c r="N49" s="28"/>
      <c r="O49" s="28"/>
      <c r="P49" s="28"/>
      <c r="Q49" s="28"/>
      <c r="R49" s="12" t="s">
        <v>36</v>
      </c>
      <c r="S49" s="51">
        <f>SUM(S23:S47)</f>
        <v>0</v>
      </c>
      <c r="T49" s="28"/>
    </row>
    <row r="50" spans="7:20" ht="20.399999999999999">
      <c r="G50" s="13"/>
      <c r="H50" s="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7:20" ht="20.399999999999999">
      <c r="G51" s="5"/>
      <c r="H51" s="38" t="s">
        <v>99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7:20" ht="20.399999999999999">
      <c r="G52" s="5"/>
      <c r="H52" s="43" t="s">
        <v>100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7:20" ht="20.399999999999999">
      <c r="G53" s="26"/>
      <c r="H53" s="43" t="s">
        <v>101</v>
      </c>
      <c r="I53" s="5"/>
      <c r="J53" s="5"/>
      <c r="K53" s="5"/>
      <c r="L53" s="5"/>
      <c r="M53" s="5"/>
      <c r="N53" s="5"/>
      <c r="O53" s="5"/>
      <c r="P53" s="38"/>
      <c r="Q53" s="38"/>
      <c r="R53" s="38"/>
      <c r="S53" s="38"/>
      <c r="T53" s="38"/>
    </row>
    <row r="54" spans="7:20" ht="20.399999999999999">
      <c r="G54" s="26"/>
      <c r="H54" s="43" t="s">
        <v>102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7:20" ht="20.399999999999999"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7:20" ht="19.8"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7:20" ht="19.8">
      <c r="G57" s="16"/>
      <c r="H57" s="44"/>
      <c r="I57" s="44"/>
      <c r="J57" s="44"/>
      <c r="K57" s="44"/>
      <c r="L57" s="44"/>
      <c r="M57" s="44"/>
      <c r="N57" s="17"/>
      <c r="O57" s="44"/>
      <c r="P57" s="44"/>
      <c r="Q57" s="44"/>
      <c r="R57" s="44"/>
      <c r="S57" s="44"/>
      <c r="T57" s="44"/>
    </row>
    <row r="58" spans="7:20" ht="19.8">
      <c r="G58" s="16"/>
      <c r="H58" s="17"/>
      <c r="I58" s="17"/>
      <c r="J58" s="17"/>
      <c r="K58" s="17"/>
      <c r="L58" s="17"/>
      <c r="M58" s="17"/>
      <c r="N58" s="17"/>
      <c r="O58" s="30"/>
      <c r="P58" s="95" t="s">
        <v>69</v>
      </c>
      <c r="Q58" s="17"/>
      <c r="R58" s="17"/>
      <c r="S58" s="17"/>
      <c r="T58" s="17"/>
    </row>
    <row r="59" spans="7:20" ht="19.8">
      <c r="G59" s="16"/>
      <c r="H59" s="31"/>
      <c r="I59" s="47"/>
      <c r="J59" s="47"/>
      <c r="K59" s="47"/>
      <c r="L59" s="47"/>
      <c r="M59" s="47"/>
      <c r="N59" s="17"/>
      <c r="O59" s="30"/>
      <c r="P59" s="31" t="s">
        <v>43</v>
      </c>
      <c r="Q59" s="31"/>
      <c r="R59" s="31"/>
      <c r="S59" s="31"/>
      <c r="T59" s="31"/>
    </row>
    <row r="60" spans="7:20" ht="19.8">
      <c r="G60" s="16"/>
      <c r="H60" s="17"/>
      <c r="I60" s="17"/>
      <c r="J60" s="17"/>
      <c r="K60" s="17"/>
      <c r="L60" s="17"/>
      <c r="M60" s="17"/>
      <c r="N60" s="17"/>
      <c r="O60" s="119"/>
      <c r="P60" s="119"/>
      <c r="Q60" s="119"/>
      <c r="R60" s="119"/>
      <c r="S60" s="119"/>
      <c r="T60" s="119"/>
    </row>
    <row r="61" spans="7:20" ht="19.2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</sheetData>
  <mergeCells count="41">
    <mergeCell ref="I44:N44"/>
    <mergeCell ref="I45:N45"/>
    <mergeCell ref="I46:N46"/>
    <mergeCell ref="I47:N47"/>
    <mergeCell ref="O60:T60"/>
    <mergeCell ref="I39:N39"/>
    <mergeCell ref="I40:N40"/>
    <mergeCell ref="I41:N41"/>
    <mergeCell ref="I42:N42"/>
    <mergeCell ref="I43:N43"/>
    <mergeCell ref="I34:N34"/>
    <mergeCell ref="I35:N35"/>
    <mergeCell ref="I36:N36"/>
    <mergeCell ref="I37:N37"/>
    <mergeCell ref="I38:N38"/>
    <mergeCell ref="I29:N29"/>
    <mergeCell ref="I30:N30"/>
    <mergeCell ref="I31:N31"/>
    <mergeCell ref="I32:N32"/>
    <mergeCell ref="I33:N33"/>
    <mergeCell ref="I24:N24"/>
    <mergeCell ref="I25:N25"/>
    <mergeCell ref="I26:N26"/>
    <mergeCell ref="I27:N27"/>
    <mergeCell ref="I28:N28"/>
    <mergeCell ref="H12:M12"/>
    <mergeCell ref="H13:M13"/>
    <mergeCell ref="Q13:R13"/>
    <mergeCell ref="L15:M15"/>
    <mergeCell ref="I23:N23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2">
    <dataValidation allowBlank="1" showInputMessage="1" sqref="H10:M10" xr:uid="{00000000-0002-0000-0400-000000000000}"/>
    <dataValidation allowBlank="1" showInputMessage="1" showErrorMessage="1" sqref="I23:J47" xr:uid="{00000000-0002-0000-0400-000001000000}"/>
  </dataValidations>
  <hyperlinks>
    <hyperlink ref="P6" r:id="rId1" xr:uid="{00000000-0004-0000-04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1:O56"/>
  <sheetViews>
    <sheetView zoomScale="60" zoomScaleNormal="60" workbookViewId="0">
      <selection activeCell="J15" sqref="J15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11" style="1" customWidth="1"/>
    <col min="9" max="9" width="9.109375" style="1" customWidth="1"/>
    <col min="10" max="10" width="66.88671875" style="1" customWidth="1"/>
    <col min="11" max="11" width="11.88671875" style="1" customWidth="1"/>
    <col min="12" max="12" width="12" style="1" customWidth="1"/>
    <col min="13" max="13" width="15.5546875" style="1" customWidth="1"/>
    <col min="14" max="14" width="16.33203125" style="1" customWidth="1"/>
    <col min="15" max="15" width="4.33203125" style="1" customWidth="1"/>
    <col min="16" max="16384" width="9.109375" style="1"/>
  </cols>
  <sheetData>
    <row r="1" spans="7:15" ht="53.4" customHeight="1">
      <c r="G1" s="99" t="s">
        <v>46</v>
      </c>
      <c r="H1" s="99"/>
      <c r="I1" s="99"/>
      <c r="J1" s="99"/>
      <c r="K1" s="99"/>
      <c r="L1" s="99"/>
      <c r="M1" s="99"/>
      <c r="N1" s="99"/>
      <c r="O1" s="99"/>
    </row>
    <row r="2" spans="7:15" ht="29.4">
      <c r="G2" s="60"/>
      <c r="H2" s="60"/>
      <c r="I2" s="60"/>
      <c r="J2" s="60"/>
      <c r="K2" s="60"/>
      <c r="L2" s="60"/>
      <c r="M2" s="60"/>
      <c r="N2" s="68" t="s">
        <v>47</v>
      </c>
      <c r="O2" s="60"/>
    </row>
    <row r="3" spans="7:15" s="59" customFormat="1" ht="19.95" customHeight="1">
      <c r="G3" s="2"/>
      <c r="H3" s="61" t="s">
        <v>48</v>
      </c>
      <c r="I3" s="2"/>
      <c r="J3" s="2"/>
      <c r="K3" s="2"/>
      <c r="L3" s="2"/>
      <c r="M3" s="20"/>
      <c r="N3" s="12" t="s">
        <v>49</v>
      </c>
      <c r="O3" s="2"/>
    </row>
    <row r="4" spans="7:15" s="59" customFormat="1" ht="19.95" customHeight="1">
      <c r="G4" s="2"/>
      <c r="H4" s="2"/>
      <c r="I4" s="2"/>
      <c r="J4" s="2"/>
      <c r="K4" s="2"/>
      <c r="L4" s="2"/>
      <c r="M4" s="2"/>
      <c r="N4" s="19" t="s">
        <v>50</v>
      </c>
      <c r="O4" s="2"/>
    </row>
    <row r="5" spans="7:15" s="59" customFormat="1" ht="19.95" customHeight="1">
      <c r="G5" s="2"/>
      <c r="H5" s="2"/>
      <c r="I5" s="2"/>
      <c r="J5" s="2"/>
      <c r="K5" s="2"/>
      <c r="L5" s="2"/>
      <c r="M5" s="2"/>
      <c r="N5" s="19" t="s">
        <v>51</v>
      </c>
      <c r="O5" s="2"/>
    </row>
    <row r="6" spans="7:15" s="59" customFormat="1" ht="19.95" customHeight="1">
      <c r="G6" s="2"/>
      <c r="H6" s="2"/>
      <c r="I6" s="2"/>
      <c r="J6" s="2"/>
      <c r="K6" s="2"/>
      <c r="L6" s="20"/>
      <c r="M6" s="2"/>
      <c r="N6" s="19" t="s">
        <v>52</v>
      </c>
      <c r="O6" s="2"/>
    </row>
    <row r="7" spans="7:15" s="59" customFormat="1" ht="19.95" customHeight="1">
      <c r="G7" s="2"/>
      <c r="H7" s="2"/>
      <c r="I7" s="19"/>
      <c r="J7" s="19"/>
      <c r="K7" s="20"/>
      <c r="L7" s="69"/>
      <c r="M7" s="2"/>
      <c r="N7" s="19" t="s">
        <v>53</v>
      </c>
      <c r="O7" s="2"/>
    </row>
    <row r="8" spans="7:15" s="59" customFormat="1" ht="19.95" customHeight="1">
      <c r="G8" s="2"/>
      <c r="H8" s="2"/>
      <c r="I8" s="19"/>
      <c r="J8" s="19"/>
      <c r="K8" s="20"/>
      <c r="L8" s="20"/>
      <c r="M8" s="2"/>
      <c r="N8" s="70" t="s">
        <v>54</v>
      </c>
      <c r="O8" s="2"/>
    </row>
    <row r="9" spans="7:15" ht="19.2">
      <c r="G9" s="4"/>
      <c r="H9" s="4"/>
      <c r="I9" s="4"/>
      <c r="J9" s="4"/>
      <c r="K9" s="4"/>
      <c r="L9" s="4"/>
      <c r="M9" s="4"/>
      <c r="N9" s="4"/>
      <c r="O9" s="4"/>
    </row>
    <row r="10" spans="7:15" ht="19.2">
      <c r="G10" s="4"/>
      <c r="H10" s="4"/>
      <c r="I10" s="4"/>
      <c r="J10" s="4"/>
      <c r="K10" s="4"/>
      <c r="L10" s="4"/>
      <c r="M10" s="4"/>
      <c r="N10" s="4"/>
      <c r="O10" s="4"/>
    </row>
    <row r="11" spans="7:15" ht="31.2" customHeight="1">
      <c r="G11" s="4"/>
      <c r="H11" s="62" t="s">
        <v>55</v>
      </c>
      <c r="I11" s="71"/>
      <c r="J11" s="71"/>
      <c r="K11" s="110" t="s">
        <v>75</v>
      </c>
      <c r="L11" s="111"/>
      <c r="M11" s="111"/>
      <c r="N11" s="111"/>
      <c r="O11" s="72"/>
    </row>
    <row r="12" spans="7:15" ht="20.399999999999999">
      <c r="G12" s="5"/>
      <c r="H12" s="5"/>
      <c r="I12" s="5"/>
      <c r="J12" s="5"/>
      <c r="K12" s="5"/>
      <c r="L12" s="27"/>
      <c r="M12" s="32"/>
      <c r="N12" s="5"/>
      <c r="O12" s="5"/>
    </row>
    <row r="13" spans="7:15" ht="20.399999999999999">
      <c r="G13" s="5"/>
      <c r="H13" s="5" t="s">
        <v>57</v>
      </c>
      <c r="I13" s="38"/>
      <c r="J13" s="38"/>
      <c r="K13" s="38"/>
      <c r="L13" s="27" t="s">
        <v>7</v>
      </c>
      <c r="M13" s="9"/>
      <c r="N13" s="26"/>
      <c r="O13" s="5"/>
    </row>
    <row r="14" spans="7:15" ht="20.399999999999999">
      <c r="G14" s="5"/>
      <c r="H14" s="5" t="s">
        <v>58</v>
      </c>
      <c r="I14" s="5"/>
      <c r="J14" s="5"/>
      <c r="K14" s="5"/>
      <c r="L14" s="27" t="s">
        <v>10</v>
      </c>
      <c r="M14" s="33"/>
      <c r="N14" s="5"/>
      <c r="O14" s="5"/>
    </row>
    <row r="15" spans="7:15" ht="20.399999999999999">
      <c r="G15" s="5"/>
      <c r="H15" s="6"/>
      <c r="I15" s="5"/>
      <c r="J15" s="5"/>
      <c r="K15" s="5"/>
      <c r="L15" s="27" t="s">
        <v>12</v>
      </c>
      <c r="M15" s="5"/>
      <c r="N15" s="5"/>
      <c r="O15" s="5"/>
    </row>
    <row r="16" spans="7:15" ht="20.399999999999999">
      <c r="G16" s="5"/>
      <c r="H16" s="5"/>
      <c r="I16" s="5"/>
      <c r="J16" s="5"/>
      <c r="K16" s="10"/>
      <c r="L16" s="27" t="s">
        <v>16</v>
      </c>
      <c r="M16" s="27"/>
      <c r="N16" s="5"/>
      <c r="O16" s="5"/>
    </row>
    <row r="17" spans="7:15" ht="20.399999999999999">
      <c r="G17" s="5"/>
      <c r="H17" s="5" t="s">
        <v>59</v>
      </c>
      <c r="I17" s="5"/>
      <c r="J17" s="5"/>
      <c r="K17" s="5"/>
      <c r="L17" s="26"/>
      <c r="M17" s="26"/>
      <c r="N17" s="26"/>
      <c r="O17" s="5"/>
    </row>
    <row r="18" spans="7:15" ht="20.399999999999999">
      <c r="G18" s="38"/>
      <c r="H18" s="6" t="s">
        <v>60</v>
      </c>
      <c r="I18" s="5"/>
      <c r="J18" s="5"/>
      <c r="K18" s="5"/>
      <c r="L18" s="5"/>
      <c r="M18" s="5"/>
      <c r="N18" s="38"/>
      <c r="O18" s="38"/>
    </row>
    <row r="19" spans="7:15" ht="20.399999999999999">
      <c r="G19" s="5"/>
      <c r="H19" s="5"/>
      <c r="I19" s="5"/>
      <c r="J19" s="5"/>
      <c r="K19" s="5"/>
      <c r="L19" s="5"/>
      <c r="M19" s="5"/>
      <c r="N19" s="5"/>
      <c r="O19" s="5"/>
    </row>
    <row r="20" spans="7:15" ht="20.399999999999999">
      <c r="G20" s="5"/>
      <c r="H20" s="6"/>
      <c r="I20" s="5"/>
      <c r="J20" s="5"/>
      <c r="K20" s="5"/>
      <c r="L20" s="5"/>
      <c r="M20" s="5"/>
      <c r="N20" s="5"/>
      <c r="O20" s="5"/>
    </row>
    <row r="21" spans="7:15" ht="31.2" customHeight="1">
      <c r="G21" s="63"/>
      <c r="H21" s="64" t="s">
        <v>62</v>
      </c>
      <c r="I21" s="112" t="s">
        <v>22</v>
      </c>
      <c r="J21" s="113"/>
      <c r="K21" s="113"/>
      <c r="L21" s="73" t="s">
        <v>23</v>
      </c>
      <c r="M21" s="74" t="s">
        <v>25</v>
      </c>
      <c r="N21" s="73" t="s">
        <v>63</v>
      </c>
      <c r="O21" s="75"/>
    </row>
    <row r="22" spans="7:15" ht="25.2" customHeight="1">
      <c r="G22" s="5"/>
      <c r="H22" s="65"/>
      <c r="I22" s="76"/>
      <c r="J22" s="5"/>
      <c r="K22" s="5"/>
      <c r="L22" s="77"/>
      <c r="M22" s="78"/>
      <c r="N22" s="79">
        <f>L22*M22</f>
        <v>0</v>
      </c>
      <c r="O22" s="76"/>
    </row>
    <row r="23" spans="7:15" ht="25.2" customHeight="1">
      <c r="G23" s="5"/>
      <c r="H23" s="66"/>
      <c r="I23" s="114"/>
      <c r="J23" s="108"/>
      <c r="K23" s="108"/>
      <c r="L23" s="80"/>
      <c r="M23" s="81"/>
      <c r="N23" s="79">
        <f t="shared" ref="N23:N40" si="0">L23*M23</f>
        <v>0</v>
      </c>
      <c r="O23" s="76"/>
    </row>
    <row r="24" spans="7:15" ht="25.2" customHeight="1">
      <c r="G24" s="5"/>
      <c r="H24" s="66"/>
      <c r="I24" s="114"/>
      <c r="J24" s="108"/>
      <c r="K24" s="108"/>
      <c r="L24" s="80"/>
      <c r="M24" s="81"/>
      <c r="N24" s="79">
        <f t="shared" si="0"/>
        <v>0</v>
      </c>
      <c r="O24" s="76"/>
    </row>
    <row r="25" spans="7:15" ht="25.2" customHeight="1">
      <c r="G25" s="5"/>
      <c r="H25" s="66"/>
      <c r="I25" s="114"/>
      <c r="J25" s="108"/>
      <c r="K25" s="108"/>
      <c r="L25" s="80"/>
      <c r="M25" s="81"/>
      <c r="N25" s="79">
        <f t="shared" si="0"/>
        <v>0</v>
      </c>
      <c r="O25" s="76"/>
    </row>
    <row r="26" spans="7:15" ht="25.2" customHeight="1">
      <c r="G26" s="5"/>
      <c r="H26" s="66"/>
      <c r="I26" s="114"/>
      <c r="J26" s="108"/>
      <c r="K26" s="108"/>
      <c r="L26" s="80"/>
      <c r="M26" s="81"/>
      <c r="N26" s="79">
        <f t="shared" si="0"/>
        <v>0</v>
      </c>
      <c r="O26" s="76"/>
    </row>
    <row r="27" spans="7:15" ht="25.2" customHeight="1">
      <c r="G27" s="5"/>
      <c r="H27" s="66"/>
      <c r="I27" s="114"/>
      <c r="J27" s="108"/>
      <c r="K27" s="108"/>
      <c r="L27" s="80"/>
      <c r="M27" s="81"/>
      <c r="N27" s="79">
        <f t="shared" si="0"/>
        <v>0</v>
      </c>
      <c r="O27" s="76"/>
    </row>
    <row r="28" spans="7:15" ht="25.2" customHeight="1">
      <c r="G28" s="5"/>
      <c r="H28" s="66"/>
      <c r="I28" s="114"/>
      <c r="J28" s="108"/>
      <c r="K28" s="108"/>
      <c r="L28" s="80"/>
      <c r="M28" s="81"/>
      <c r="N28" s="79">
        <f t="shared" si="0"/>
        <v>0</v>
      </c>
      <c r="O28" s="76"/>
    </row>
    <row r="29" spans="7:15" ht="25.2" customHeight="1">
      <c r="G29" s="5"/>
      <c r="H29" s="66"/>
      <c r="I29" s="114"/>
      <c r="J29" s="108"/>
      <c r="K29" s="108"/>
      <c r="L29" s="80"/>
      <c r="M29" s="81"/>
      <c r="N29" s="79">
        <f t="shared" si="0"/>
        <v>0</v>
      </c>
      <c r="O29" s="76"/>
    </row>
    <row r="30" spans="7:15" ht="25.2" customHeight="1">
      <c r="G30" s="5"/>
      <c r="H30" s="66"/>
      <c r="I30" s="114"/>
      <c r="J30" s="108"/>
      <c r="K30" s="108"/>
      <c r="L30" s="80"/>
      <c r="M30" s="81"/>
      <c r="N30" s="79">
        <f t="shared" si="0"/>
        <v>0</v>
      </c>
      <c r="O30" s="76"/>
    </row>
    <row r="31" spans="7:15" ht="25.2" customHeight="1">
      <c r="G31" s="5"/>
      <c r="H31" s="66"/>
      <c r="I31" s="114"/>
      <c r="J31" s="108"/>
      <c r="K31" s="108"/>
      <c r="L31" s="80"/>
      <c r="M31" s="81"/>
      <c r="N31" s="79">
        <f t="shared" si="0"/>
        <v>0</v>
      </c>
      <c r="O31" s="76"/>
    </row>
    <row r="32" spans="7:15" ht="25.2" customHeight="1">
      <c r="G32" s="5"/>
      <c r="H32" s="66"/>
      <c r="I32" s="114"/>
      <c r="J32" s="108"/>
      <c r="K32" s="108"/>
      <c r="L32" s="80"/>
      <c r="M32" s="81"/>
      <c r="N32" s="79">
        <f t="shared" si="0"/>
        <v>0</v>
      </c>
      <c r="O32" s="76"/>
    </row>
    <row r="33" spans="7:15" ht="25.2" customHeight="1">
      <c r="G33" s="5"/>
      <c r="H33" s="66"/>
      <c r="I33" s="114"/>
      <c r="J33" s="108"/>
      <c r="K33" s="108"/>
      <c r="L33" s="80"/>
      <c r="M33" s="81"/>
      <c r="N33" s="79">
        <f t="shared" si="0"/>
        <v>0</v>
      </c>
      <c r="O33" s="76"/>
    </row>
    <row r="34" spans="7:15" ht="25.2" customHeight="1">
      <c r="G34" s="5"/>
      <c r="H34" s="66"/>
      <c r="I34" s="114"/>
      <c r="J34" s="108"/>
      <c r="K34" s="108"/>
      <c r="L34" s="80"/>
      <c r="M34" s="81"/>
      <c r="N34" s="79">
        <f t="shared" si="0"/>
        <v>0</v>
      </c>
      <c r="O34" s="76"/>
    </row>
    <row r="35" spans="7:15" ht="25.2" customHeight="1">
      <c r="G35" s="5"/>
      <c r="H35" s="66"/>
      <c r="I35" s="114"/>
      <c r="J35" s="108"/>
      <c r="K35" s="108"/>
      <c r="L35" s="80"/>
      <c r="M35" s="81"/>
      <c r="N35" s="79">
        <f t="shared" si="0"/>
        <v>0</v>
      </c>
      <c r="O35" s="76"/>
    </row>
    <row r="36" spans="7:15" ht="25.2" customHeight="1">
      <c r="G36" s="5"/>
      <c r="H36" s="66"/>
      <c r="I36" s="114"/>
      <c r="J36" s="108"/>
      <c r="K36" s="108"/>
      <c r="L36" s="80"/>
      <c r="M36" s="81"/>
      <c r="N36" s="79">
        <f t="shared" si="0"/>
        <v>0</v>
      </c>
      <c r="O36" s="76"/>
    </row>
    <row r="37" spans="7:15" ht="25.2" customHeight="1">
      <c r="G37" s="28"/>
      <c r="H37" s="66"/>
      <c r="I37" s="114"/>
      <c r="J37" s="108"/>
      <c r="K37" s="108"/>
      <c r="L37" s="80"/>
      <c r="M37" s="81"/>
      <c r="N37" s="79">
        <f t="shared" si="0"/>
        <v>0</v>
      </c>
      <c r="O37" s="76"/>
    </row>
    <row r="38" spans="7:15" ht="25.2" customHeight="1">
      <c r="G38" s="28"/>
      <c r="H38" s="66"/>
      <c r="I38" s="114"/>
      <c r="J38" s="108"/>
      <c r="K38" s="108"/>
      <c r="L38" s="80"/>
      <c r="M38" s="81"/>
      <c r="N38" s="79">
        <f t="shared" si="0"/>
        <v>0</v>
      </c>
      <c r="O38" s="76"/>
    </row>
    <row r="39" spans="7:15" ht="25.2" customHeight="1">
      <c r="G39" s="28"/>
      <c r="H39" s="66"/>
      <c r="I39" s="114"/>
      <c r="J39" s="108"/>
      <c r="K39" s="108"/>
      <c r="L39" s="80"/>
      <c r="M39" s="81"/>
      <c r="N39" s="79">
        <f t="shared" si="0"/>
        <v>0</v>
      </c>
      <c r="O39" s="76"/>
    </row>
    <row r="40" spans="7:15" ht="25.2" customHeight="1">
      <c r="G40" s="28"/>
      <c r="H40" s="67"/>
      <c r="I40" s="120"/>
      <c r="J40" s="121"/>
      <c r="K40" s="121"/>
      <c r="L40" s="80"/>
      <c r="M40" s="81"/>
      <c r="N40" s="79">
        <f t="shared" si="0"/>
        <v>0</v>
      </c>
      <c r="O40" s="76"/>
    </row>
    <row r="41" spans="7:15" ht="25.2" customHeight="1">
      <c r="G41" s="28"/>
      <c r="H41" s="37"/>
      <c r="I41" s="108"/>
      <c r="J41" s="108"/>
      <c r="K41" s="108"/>
      <c r="L41" s="117" t="s">
        <v>64</v>
      </c>
      <c r="M41" s="118"/>
      <c r="N41" s="82">
        <f>SUM(N23:N40)</f>
        <v>0</v>
      </c>
      <c r="O41" s="5"/>
    </row>
    <row r="42" spans="7:15" ht="25.2" customHeight="1">
      <c r="G42" s="5"/>
      <c r="H42" s="37"/>
      <c r="I42" s="108"/>
      <c r="J42" s="108"/>
      <c r="K42" s="108"/>
      <c r="L42" s="115" t="s">
        <v>26</v>
      </c>
      <c r="M42" s="116"/>
      <c r="N42" s="83">
        <v>0</v>
      </c>
      <c r="O42" s="5"/>
    </row>
    <row r="43" spans="7:15" ht="25.2" customHeight="1">
      <c r="G43" s="5"/>
      <c r="H43" s="37"/>
      <c r="I43" s="108"/>
      <c r="J43" s="108"/>
      <c r="K43" s="108"/>
      <c r="L43" s="115" t="s">
        <v>65</v>
      </c>
      <c r="M43" s="116"/>
      <c r="N43" s="83">
        <v>0</v>
      </c>
      <c r="O43" s="5"/>
    </row>
    <row r="44" spans="7:15" ht="25.2" customHeight="1">
      <c r="G44" s="5"/>
      <c r="H44" s="11" t="s">
        <v>34</v>
      </c>
      <c r="I44" s="28"/>
      <c r="J44" s="28"/>
      <c r="K44" s="28"/>
      <c r="L44" s="117" t="s">
        <v>66</v>
      </c>
      <c r="M44" s="118"/>
      <c r="N44" s="84">
        <f>SUM(N41:N43)</f>
        <v>0</v>
      </c>
      <c r="O44" s="28"/>
    </row>
    <row r="45" spans="7:15" ht="20.399999999999999">
      <c r="G45" s="13"/>
      <c r="H45" s="5"/>
      <c r="I45" s="28"/>
      <c r="J45" s="28"/>
      <c r="K45" s="28"/>
      <c r="L45" s="28"/>
      <c r="M45" s="28"/>
      <c r="N45" s="28"/>
      <c r="O45" s="28"/>
    </row>
    <row r="46" spans="7:15" ht="20.399999999999999">
      <c r="G46" s="5"/>
      <c r="H46" s="38" t="s">
        <v>99</v>
      </c>
      <c r="I46" s="5"/>
      <c r="J46" s="5"/>
      <c r="K46" s="5"/>
      <c r="L46" s="5"/>
      <c r="M46" s="5"/>
      <c r="N46" s="5"/>
      <c r="O46" s="5"/>
    </row>
    <row r="47" spans="7:15" ht="20.399999999999999">
      <c r="G47" s="5"/>
      <c r="H47" s="43" t="s">
        <v>100</v>
      </c>
      <c r="I47" s="5"/>
      <c r="J47" s="5"/>
      <c r="K47" s="5"/>
      <c r="L47" s="5"/>
      <c r="M47" s="5"/>
      <c r="N47" s="5"/>
      <c r="O47" s="5"/>
    </row>
    <row r="48" spans="7:15" ht="20.399999999999999">
      <c r="G48" s="26"/>
      <c r="H48" s="43" t="s">
        <v>101</v>
      </c>
      <c r="I48" s="5"/>
      <c r="J48" s="5"/>
      <c r="K48" s="5"/>
      <c r="L48" s="38"/>
      <c r="M48" s="38"/>
      <c r="N48" s="38"/>
      <c r="O48" s="38"/>
    </row>
    <row r="49" spans="7:15" ht="20.399999999999999">
      <c r="G49" s="26"/>
      <c r="H49" s="43" t="s">
        <v>102</v>
      </c>
      <c r="I49" s="5"/>
      <c r="J49" s="5"/>
      <c r="K49" s="5"/>
      <c r="L49" s="5"/>
      <c r="M49" s="5"/>
      <c r="N49" s="5"/>
      <c r="O49" s="5"/>
    </row>
    <row r="50" spans="7:15" ht="20.399999999999999">
      <c r="G50" s="26"/>
      <c r="H50" s="5"/>
      <c r="I50" s="5"/>
      <c r="J50" s="5"/>
      <c r="K50" s="5"/>
      <c r="L50" s="5"/>
      <c r="M50" s="5"/>
      <c r="N50" s="5"/>
      <c r="O50" s="5"/>
    </row>
    <row r="51" spans="7:15" ht="19.8">
      <c r="G51" s="16"/>
      <c r="H51" s="17"/>
      <c r="I51" s="17"/>
      <c r="J51" s="17"/>
      <c r="K51" s="17"/>
      <c r="L51" s="17"/>
      <c r="M51" s="17"/>
      <c r="N51" s="17"/>
      <c r="O51" s="17"/>
    </row>
    <row r="52" spans="7:15" ht="19.2">
      <c r="G52" s="16"/>
      <c r="H52" s="44"/>
      <c r="I52" s="44"/>
      <c r="J52" s="44"/>
      <c r="K52" s="44"/>
      <c r="L52" s="44"/>
      <c r="M52" s="44"/>
      <c r="N52" s="44"/>
      <c r="O52" s="44"/>
    </row>
    <row r="53" spans="7:15" ht="19.8">
      <c r="G53" s="16"/>
      <c r="H53" s="17"/>
      <c r="I53" s="17"/>
      <c r="J53" s="17"/>
      <c r="K53" s="17"/>
      <c r="L53" s="95" t="s">
        <v>69</v>
      </c>
      <c r="M53" s="17"/>
      <c r="N53" s="17"/>
      <c r="O53" s="17"/>
    </row>
    <row r="54" spans="7:15" ht="19.8">
      <c r="G54" s="16"/>
      <c r="H54" s="31"/>
      <c r="I54" s="47"/>
      <c r="J54" s="47"/>
      <c r="K54" s="47"/>
      <c r="L54" s="31" t="s">
        <v>43</v>
      </c>
      <c r="M54" s="31"/>
      <c r="N54" s="31"/>
      <c r="O54" s="31"/>
    </row>
    <row r="55" spans="7:15" ht="19.8">
      <c r="G55" s="16"/>
      <c r="H55" s="17"/>
      <c r="I55" s="17"/>
      <c r="J55" s="17"/>
      <c r="K55" s="17"/>
      <c r="L55" s="119"/>
      <c r="M55" s="119"/>
      <c r="N55" s="119"/>
      <c r="O55" s="119"/>
    </row>
    <row r="56" spans="7:15" ht="19.2">
      <c r="G56" s="18"/>
      <c r="H56" s="18"/>
      <c r="I56" s="18"/>
      <c r="J56" s="18"/>
      <c r="K56" s="18"/>
      <c r="L56" s="18"/>
      <c r="M56" s="18"/>
      <c r="N56" s="18"/>
      <c r="O56" s="18"/>
    </row>
  </sheetData>
  <mergeCells count="29">
    <mergeCell ref="I43:K43"/>
    <mergeCell ref="L43:M43"/>
    <mergeCell ref="L44:M44"/>
    <mergeCell ref="L55:O55"/>
    <mergeCell ref="I40:K40"/>
    <mergeCell ref="I41:K41"/>
    <mergeCell ref="L41:M41"/>
    <mergeCell ref="I42:K42"/>
    <mergeCell ref="L42:M42"/>
    <mergeCell ref="I35:K35"/>
    <mergeCell ref="I36:K36"/>
    <mergeCell ref="I37:K3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G1:O1"/>
    <mergeCell ref="K11:N11"/>
    <mergeCell ref="I21:K21"/>
    <mergeCell ref="I23:K23"/>
    <mergeCell ref="I24:K24"/>
  </mergeCells>
  <dataValidations count="2">
    <dataValidation allowBlank="1" showInputMessage="1" sqref="H11:J11 H18" xr:uid="{00000000-0002-0000-0500-000000000000}"/>
    <dataValidation allowBlank="1" showInputMessage="1" showErrorMessage="1" sqref="I23:K43" xr:uid="{00000000-0002-0000-0500-000001000000}"/>
  </dataValidations>
  <hyperlinks>
    <hyperlink ref="N8" r:id="rId1" xr:uid="{00000000-0004-0000-0500-000000000000}"/>
  </hyperlinks>
  <pageMargins left="0.53" right="0" top="0.31" bottom="0" header="0.31496062992126" footer="0.31496062992126"/>
  <pageSetup paperSize="9" scale="62" orientation="portrait" horizontalDpi="300" verticalDpi="3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E1:T60"/>
  <sheetViews>
    <sheetView zoomScale="60" zoomScaleNormal="60" workbookViewId="0">
      <selection activeCell="H10" sqref="H10:M10"/>
    </sheetView>
  </sheetViews>
  <sheetFormatPr defaultColWidth="9.109375" defaultRowHeight="19.2"/>
  <cols>
    <col min="1" max="4" width="9.109375" style="1"/>
    <col min="5" max="6" width="9.109375" style="1" hidden="1" customWidth="1"/>
    <col min="7" max="7" width="4.33203125" style="18" customWidth="1"/>
    <col min="8" max="8" width="9.109375" style="18"/>
    <col min="9" max="9" width="19.44140625" style="18" customWidth="1"/>
    <col min="10" max="10" width="15" style="18" customWidth="1"/>
    <col min="11" max="11" width="11.44140625" style="18" customWidth="1"/>
    <col min="12" max="12" width="6.6640625" style="18" customWidth="1"/>
    <col min="13" max="13" width="15.88671875" style="18" customWidth="1"/>
    <col min="14" max="14" width="12.44140625" style="18" customWidth="1"/>
    <col min="15" max="15" width="9.33203125" style="18" customWidth="1"/>
    <col min="16" max="16" width="8.33203125" style="18" customWidth="1"/>
    <col min="17" max="18" width="13.33203125" style="18" customWidth="1"/>
    <col min="19" max="19" width="16.33203125" style="18" customWidth="1"/>
    <col min="20" max="20" width="4.33203125" style="18" customWidth="1"/>
    <col min="21" max="16384" width="9.109375" style="1"/>
  </cols>
  <sheetData>
    <row r="1" spans="5:20" ht="53.4" customHeight="1">
      <c r="G1" s="99" t="s">
        <v>103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104</v>
      </c>
      <c r="Q8" s="48"/>
      <c r="R8" s="49"/>
      <c r="S8" s="4"/>
      <c r="T8" s="4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IFERROR(MATCH(H10,Cust_ddown,0)+4,"")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02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</v>
      </c>
      <c r="Q12" s="6"/>
      <c r="R12" s="5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16</v>
      </c>
      <c r="Q13" s="106" t="s">
        <v>17</v>
      </c>
      <c r="R13" s="106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6"/>
      <c r="Q14" s="26"/>
      <c r="R14" s="27"/>
      <c r="S14" s="5"/>
      <c r="T14" s="5"/>
    </row>
    <row r="15" spans="5:20" ht="20.399999999999999">
      <c r="G15" s="5"/>
      <c r="H15" s="5" t="s">
        <v>18</v>
      </c>
      <c r="I15" s="5"/>
      <c r="J15" s="5"/>
      <c r="K15" s="27" t="s">
        <v>20</v>
      </c>
      <c r="L15" s="140"/>
      <c r="M15" s="140"/>
      <c r="N15" s="5"/>
      <c r="O15" s="26"/>
      <c r="P15" s="27"/>
      <c r="Q15" s="27"/>
      <c r="R15" s="27"/>
      <c r="S15" s="5"/>
      <c r="T15" s="5"/>
    </row>
    <row r="16" spans="5:20" ht="20.399999999999999">
      <c r="G16" s="5"/>
      <c r="H16" s="5" t="s">
        <v>77</v>
      </c>
      <c r="I16" s="5"/>
      <c r="J16" s="5"/>
      <c r="K16" s="6"/>
      <c r="L16" s="6"/>
      <c r="M16" s="6"/>
      <c r="N16" s="5"/>
      <c r="O16" s="5"/>
      <c r="P16" s="26"/>
      <c r="Q16" s="26"/>
      <c r="R16" s="26"/>
      <c r="S16" s="26"/>
      <c r="T16" s="5"/>
    </row>
    <row r="17" spans="5:20" ht="20.399999999999999">
      <c r="G17" s="38"/>
      <c r="H17" s="5"/>
      <c r="I17" s="5"/>
      <c r="J17" s="5"/>
      <c r="K17" s="6"/>
      <c r="L17" s="6"/>
      <c r="M17" s="6"/>
      <c r="N17" s="5"/>
      <c r="O17" s="6"/>
      <c r="P17" s="5"/>
      <c r="Q17" s="5"/>
      <c r="R17" s="5"/>
      <c r="S17" s="38"/>
      <c r="T17" s="38"/>
    </row>
    <row r="18" spans="5:20" ht="20.399999999999999">
      <c r="G18" s="38"/>
      <c r="H18" s="6"/>
      <c r="I18" s="6"/>
      <c r="J18" s="6"/>
      <c r="K18" s="6"/>
      <c r="L18" s="6"/>
      <c r="M18" s="6"/>
      <c r="N18" s="5"/>
      <c r="O18" s="6"/>
      <c r="P18" s="5"/>
      <c r="Q18" s="5"/>
      <c r="R18" s="5"/>
      <c r="S18" s="38"/>
      <c r="T18" s="38"/>
    </row>
    <row r="19" spans="5:20" ht="20.399999999999999">
      <c r="G19" s="5"/>
      <c r="H19" s="5"/>
      <c r="I19" s="5"/>
      <c r="J19" s="5"/>
      <c r="K19" s="6"/>
      <c r="L19" s="6"/>
      <c r="M19" s="6"/>
      <c r="N19" s="11"/>
      <c r="O19" s="5"/>
      <c r="P19" s="5"/>
      <c r="Q19" s="5"/>
      <c r="R19" s="5"/>
      <c r="S19" s="5"/>
      <c r="T19" s="5"/>
    </row>
    <row r="20" spans="5:20" ht="20.399999999999999">
      <c r="G20" s="5"/>
      <c r="H20" s="6"/>
      <c r="I20" s="5"/>
      <c r="J20" s="5"/>
      <c r="K20" s="6"/>
      <c r="L20" s="6"/>
      <c r="M20" s="6"/>
      <c r="N20" s="6"/>
      <c r="O20" s="5"/>
      <c r="P20" s="5"/>
      <c r="Q20" s="5"/>
      <c r="R20" s="5"/>
      <c r="S20" s="5"/>
      <c r="T20" s="5"/>
    </row>
    <row r="21" spans="5:20" ht="20.399999999999999">
      <c r="G21" s="5"/>
      <c r="H21" s="10" t="s">
        <v>21</v>
      </c>
      <c r="I21" s="6" t="s">
        <v>22</v>
      </c>
      <c r="J21" s="6"/>
      <c r="K21" s="6"/>
      <c r="L21" s="6"/>
      <c r="M21" s="6"/>
      <c r="N21" s="6"/>
      <c r="O21" s="6" t="s">
        <v>23</v>
      </c>
      <c r="P21" s="6" t="s">
        <v>24</v>
      </c>
      <c r="Q21" s="6"/>
      <c r="R21" s="5" t="s">
        <v>105</v>
      </c>
      <c r="S21" s="5"/>
      <c r="T21" s="5"/>
    </row>
    <row r="22" spans="5:20" ht="20.399999999999999">
      <c r="G22" s="5"/>
      <c r="H22" s="10"/>
      <c r="I22" s="5"/>
      <c r="J22" s="5"/>
      <c r="K22" s="6"/>
      <c r="L22" s="6"/>
      <c r="M22" s="6"/>
      <c r="N22" s="6"/>
      <c r="O22" s="6"/>
      <c r="P22" s="27"/>
      <c r="Q22" s="27"/>
      <c r="R22" s="5"/>
      <c r="S22" s="5"/>
      <c r="T22" s="5"/>
    </row>
    <row r="23" spans="5:20" ht="23.1" customHeight="1">
      <c r="E23" s="7"/>
      <c r="F23" s="8" t="str">
        <f>IFERROR(MATCH(I23,Prod_ddown,0)+4,"")</f>
        <v/>
      </c>
      <c r="G23" s="5"/>
      <c r="H23" s="37">
        <v>1</v>
      </c>
      <c r="I23" s="108"/>
      <c r="J23" s="108"/>
      <c r="K23" s="108"/>
      <c r="L23" s="108"/>
      <c r="M23" s="108"/>
      <c r="N23" s="108"/>
      <c r="O23" s="46"/>
      <c r="P23" s="11"/>
      <c r="Q23" s="34"/>
      <c r="R23" s="50"/>
      <c r="S23" s="50"/>
      <c r="T23" s="5"/>
    </row>
    <row r="24" spans="5:20" ht="23.1" customHeight="1">
      <c r="F24" s="8" t="str">
        <f>IFERROR(MATCH(I24,Prod_ddown,0)+4,"")</f>
        <v/>
      </c>
      <c r="G24" s="5"/>
      <c r="H24" s="37">
        <v>2</v>
      </c>
      <c r="I24" s="108"/>
      <c r="J24" s="108"/>
      <c r="K24" s="108"/>
      <c r="L24" s="108"/>
      <c r="M24" s="108"/>
      <c r="N24" s="108"/>
      <c r="O24" s="46"/>
      <c r="P24" s="11"/>
      <c r="Q24" s="34"/>
      <c r="R24" s="50"/>
      <c r="S24" s="50"/>
      <c r="T24" s="5"/>
    </row>
    <row r="25" spans="5:20" ht="23.1" customHeight="1">
      <c r="G25" s="5"/>
      <c r="H25" s="37">
        <v>3</v>
      </c>
      <c r="I25" s="108"/>
      <c r="J25" s="108"/>
      <c r="K25" s="108"/>
      <c r="L25" s="108"/>
      <c r="M25" s="108"/>
      <c r="N25" s="108"/>
      <c r="O25" s="46"/>
      <c r="P25" s="11"/>
      <c r="Q25" s="34"/>
      <c r="R25" s="50"/>
      <c r="S25" s="50"/>
      <c r="T25" s="5"/>
    </row>
    <row r="26" spans="5:20" ht="23.1" customHeight="1">
      <c r="G26" s="5"/>
      <c r="H26" s="37">
        <v>4</v>
      </c>
      <c r="I26" s="108"/>
      <c r="J26" s="108"/>
      <c r="K26" s="108"/>
      <c r="L26" s="108"/>
      <c r="M26" s="108"/>
      <c r="N26" s="108"/>
      <c r="O26" s="46"/>
      <c r="P26" s="11"/>
      <c r="Q26" s="34"/>
      <c r="R26" s="50"/>
      <c r="S26" s="50"/>
      <c r="T26" s="5"/>
    </row>
    <row r="27" spans="5:20" ht="23.1" customHeight="1">
      <c r="G27" s="5"/>
      <c r="H27" s="37">
        <v>5</v>
      </c>
      <c r="I27" s="108"/>
      <c r="J27" s="108"/>
      <c r="K27" s="108"/>
      <c r="L27" s="108"/>
      <c r="M27" s="108"/>
      <c r="N27" s="108"/>
      <c r="O27" s="46"/>
      <c r="P27" s="11"/>
      <c r="Q27" s="34"/>
      <c r="R27" s="50"/>
      <c r="S27" s="50"/>
      <c r="T27" s="5"/>
    </row>
    <row r="28" spans="5:20" ht="23.1" customHeight="1">
      <c r="G28" s="5"/>
      <c r="H28" s="37">
        <v>6</v>
      </c>
      <c r="I28" s="108"/>
      <c r="J28" s="108"/>
      <c r="K28" s="108"/>
      <c r="L28" s="108"/>
      <c r="M28" s="108"/>
      <c r="N28" s="108"/>
      <c r="O28" s="46"/>
      <c r="P28" s="11"/>
      <c r="Q28" s="34"/>
      <c r="R28" s="50"/>
      <c r="S28" s="50"/>
      <c r="T28" s="5"/>
    </row>
    <row r="29" spans="5:20" ht="23.1" customHeight="1">
      <c r="G29" s="5"/>
      <c r="H29" s="37">
        <v>7</v>
      </c>
      <c r="I29" s="108"/>
      <c r="J29" s="108"/>
      <c r="K29" s="108"/>
      <c r="L29" s="108"/>
      <c r="M29" s="108"/>
      <c r="N29" s="108"/>
      <c r="O29" s="46"/>
      <c r="P29" s="11"/>
      <c r="Q29" s="34"/>
      <c r="R29" s="50"/>
      <c r="S29" s="50"/>
      <c r="T29" s="5"/>
    </row>
    <row r="30" spans="5:20" ht="23.1" customHeight="1">
      <c r="G30" s="5"/>
      <c r="H30" s="37">
        <v>8</v>
      </c>
      <c r="I30" s="108"/>
      <c r="J30" s="108"/>
      <c r="K30" s="108"/>
      <c r="L30" s="108"/>
      <c r="M30" s="108"/>
      <c r="N30" s="108"/>
      <c r="O30" s="46"/>
      <c r="P30" s="11"/>
      <c r="Q30" s="34"/>
      <c r="R30" s="50"/>
      <c r="S30" s="50"/>
      <c r="T30" s="5"/>
    </row>
    <row r="31" spans="5:20" ht="23.1" customHeight="1">
      <c r="G31" s="5"/>
      <c r="H31" s="37">
        <v>9</v>
      </c>
      <c r="I31" s="108"/>
      <c r="J31" s="108"/>
      <c r="K31" s="108"/>
      <c r="L31" s="108"/>
      <c r="M31" s="108"/>
      <c r="N31" s="108"/>
      <c r="O31" s="46"/>
      <c r="P31" s="11"/>
      <c r="Q31" s="34"/>
      <c r="R31" s="50"/>
      <c r="S31" s="50"/>
      <c r="T31" s="5"/>
    </row>
    <row r="32" spans="5:20" ht="23.1" customHeight="1">
      <c r="G32" s="5"/>
      <c r="H32" s="37">
        <v>10</v>
      </c>
      <c r="I32" s="108"/>
      <c r="J32" s="108"/>
      <c r="K32" s="108"/>
      <c r="L32" s="108"/>
      <c r="M32" s="108"/>
      <c r="N32" s="108"/>
      <c r="O32" s="46"/>
      <c r="P32" s="11"/>
      <c r="Q32" s="34"/>
      <c r="R32" s="50"/>
      <c r="S32" s="50"/>
      <c r="T32" s="5"/>
    </row>
    <row r="33" spans="7:20" ht="23.1" customHeight="1">
      <c r="G33" s="5"/>
      <c r="H33" s="37">
        <v>11</v>
      </c>
      <c r="I33" s="108"/>
      <c r="J33" s="108"/>
      <c r="K33" s="108"/>
      <c r="L33" s="108"/>
      <c r="M33" s="108"/>
      <c r="N33" s="108"/>
      <c r="O33" s="46"/>
      <c r="P33" s="11"/>
      <c r="Q33" s="34"/>
      <c r="R33" s="50"/>
      <c r="S33" s="50"/>
      <c r="T33" s="5"/>
    </row>
    <row r="34" spans="7:20" ht="23.1" customHeight="1">
      <c r="G34" s="5"/>
      <c r="H34" s="37">
        <v>12</v>
      </c>
      <c r="I34" s="108"/>
      <c r="J34" s="108"/>
      <c r="K34" s="108"/>
      <c r="L34" s="108"/>
      <c r="M34" s="108"/>
      <c r="N34" s="108"/>
      <c r="O34" s="46"/>
      <c r="P34" s="11"/>
      <c r="Q34" s="34"/>
      <c r="R34" s="50"/>
      <c r="S34" s="50"/>
      <c r="T34" s="5"/>
    </row>
    <row r="35" spans="7:20" ht="23.1" customHeight="1">
      <c r="G35" s="5"/>
      <c r="H35" s="37">
        <v>13</v>
      </c>
      <c r="I35" s="108"/>
      <c r="J35" s="108"/>
      <c r="K35" s="108"/>
      <c r="L35" s="108"/>
      <c r="M35" s="108"/>
      <c r="N35" s="108"/>
      <c r="O35" s="46"/>
      <c r="P35" s="11"/>
      <c r="Q35" s="34"/>
      <c r="R35" s="50"/>
      <c r="S35" s="50"/>
      <c r="T35" s="5"/>
    </row>
    <row r="36" spans="7:20" ht="23.1" customHeight="1">
      <c r="G36" s="5"/>
      <c r="H36" s="37">
        <v>14</v>
      </c>
      <c r="I36" s="108"/>
      <c r="J36" s="108"/>
      <c r="K36" s="108"/>
      <c r="L36" s="108"/>
      <c r="M36" s="108"/>
      <c r="N36" s="108"/>
      <c r="O36" s="46"/>
      <c r="P36" s="11"/>
      <c r="Q36" s="34"/>
      <c r="R36" s="50"/>
      <c r="S36" s="50"/>
      <c r="T36" s="5"/>
    </row>
    <row r="37" spans="7:20" ht="23.1" customHeight="1">
      <c r="G37" s="5"/>
      <c r="H37" s="37">
        <v>15</v>
      </c>
      <c r="I37" s="108"/>
      <c r="J37" s="108"/>
      <c r="K37" s="108"/>
      <c r="L37" s="108"/>
      <c r="M37" s="108"/>
      <c r="N37" s="108"/>
      <c r="O37" s="46"/>
      <c r="P37" s="11"/>
      <c r="Q37" s="34"/>
      <c r="R37" s="50"/>
      <c r="S37" s="50"/>
      <c r="T37" s="5"/>
    </row>
    <row r="38" spans="7:20" ht="23.1" customHeight="1">
      <c r="G38" s="5"/>
      <c r="H38" s="37">
        <v>16</v>
      </c>
      <c r="I38" s="108"/>
      <c r="J38" s="108"/>
      <c r="K38" s="108"/>
      <c r="L38" s="108"/>
      <c r="M38" s="108"/>
      <c r="N38" s="108"/>
      <c r="O38" s="46"/>
      <c r="P38" s="11"/>
      <c r="Q38" s="34"/>
      <c r="R38" s="50"/>
      <c r="S38" s="50"/>
      <c r="T38" s="5"/>
    </row>
    <row r="39" spans="7:20" ht="23.1" customHeight="1">
      <c r="G39" s="5"/>
      <c r="H39" s="37">
        <v>17</v>
      </c>
      <c r="I39" s="108"/>
      <c r="J39" s="108"/>
      <c r="K39" s="108"/>
      <c r="L39" s="108"/>
      <c r="M39" s="108"/>
      <c r="N39" s="108"/>
      <c r="O39" s="46"/>
      <c r="P39" s="11"/>
      <c r="Q39" s="34"/>
      <c r="R39" s="50"/>
      <c r="S39" s="50"/>
      <c r="T39" s="5"/>
    </row>
    <row r="40" spans="7:20" ht="23.1" customHeight="1">
      <c r="G40" s="5"/>
      <c r="H40" s="37">
        <v>18</v>
      </c>
      <c r="I40" s="108"/>
      <c r="J40" s="108"/>
      <c r="K40" s="108"/>
      <c r="L40" s="108"/>
      <c r="M40" s="108"/>
      <c r="N40" s="108"/>
      <c r="O40" s="46"/>
      <c r="P40" s="11"/>
      <c r="Q40" s="34"/>
      <c r="R40" s="50"/>
      <c r="S40" s="50"/>
      <c r="T40" s="5"/>
    </row>
    <row r="41" spans="7:20" ht="23.1" customHeight="1">
      <c r="G41" s="28"/>
      <c r="H41" s="37">
        <v>19</v>
      </c>
      <c r="I41" s="108"/>
      <c r="J41" s="108"/>
      <c r="K41" s="108"/>
      <c r="L41" s="108"/>
      <c r="M41" s="108"/>
      <c r="N41" s="108"/>
      <c r="O41" s="46"/>
      <c r="P41" s="11"/>
      <c r="Q41" s="34"/>
      <c r="R41" s="50"/>
      <c r="S41" s="50"/>
      <c r="T41" s="5"/>
    </row>
    <row r="42" spans="7:20" ht="23.1" customHeight="1">
      <c r="G42" s="28"/>
      <c r="H42" s="37">
        <v>20</v>
      </c>
      <c r="I42" s="108"/>
      <c r="J42" s="108"/>
      <c r="K42" s="108"/>
      <c r="L42" s="108"/>
      <c r="M42" s="108"/>
      <c r="N42" s="108"/>
      <c r="O42" s="46"/>
      <c r="P42" s="11"/>
      <c r="Q42" s="34"/>
      <c r="R42" s="50"/>
      <c r="S42" s="50"/>
      <c r="T42" s="5"/>
    </row>
    <row r="43" spans="7:20" ht="23.1" customHeight="1">
      <c r="G43" s="28"/>
      <c r="H43" s="37">
        <v>21</v>
      </c>
      <c r="I43" s="108"/>
      <c r="J43" s="108"/>
      <c r="K43" s="108"/>
      <c r="L43" s="108"/>
      <c r="M43" s="108"/>
      <c r="N43" s="108"/>
      <c r="O43" s="46"/>
      <c r="P43" s="11"/>
      <c r="Q43" s="34"/>
      <c r="R43" s="50"/>
      <c r="S43" s="50"/>
      <c r="T43" s="5"/>
    </row>
    <row r="44" spans="7:20" ht="23.1" customHeight="1">
      <c r="G44" s="28"/>
      <c r="H44" s="37">
        <v>22</v>
      </c>
      <c r="I44" s="108"/>
      <c r="J44" s="108"/>
      <c r="K44" s="108"/>
      <c r="L44" s="108"/>
      <c r="M44" s="108"/>
      <c r="N44" s="108"/>
      <c r="O44" s="46"/>
      <c r="P44" s="11"/>
      <c r="Q44" s="34"/>
      <c r="R44" s="50"/>
      <c r="S44" s="50"/>
      <c r="T44" s="5"/>
    </row>
    <row r="45" spans="7:20" ht="23.1" customHeight="1">
      <c r="G45" s="28"/>
      <c r="H45" s="37">
        <v>23</v>
      </c>
      <c r="I45" s="108"/>
      <c r="J45" s="108"/>
      <c r="K45" s="108"/>
      <c r="L45" s="108"/>
      <c r="M45" s="108"/>
      <c r="N45" s="108"/>
      <c r="O45" s="46"/>
      <c r="P45" s="11"/>
      <c r="Q45" s="34"/>
      <c r="R45" s="50"/>
      <c r="S45" s="50"/>
      <c r="T45" s="5"/>
    </row>
    <row r="46" spans="7:20" ht="23.1" customHeight="1">
      <c r="G46" s="5"/>
      <c r="H46" s="37">
        <v>24</v>
      </c>
      <c r="I46" s="108"/>
      <c r="J46" s="108"/>
      <c r="K46" s="108"/>
      <c r="L46" s="108"/>
      <c r="M46" s="108"/>
      <c r="N46" s="108"/>
      <c r="O46" s="46"/>
      <c r="P46" s="11"/>
      <c r="Q46" s="34"/>
      <c r="R46" s="50"/>
      <c r="S46" s="50"/>
      <c r="T46" s="5"/>
    </row>
    <row r="47" spans="7:20" ht="23.1" customHeight="1">
      <c r="G47" s="5"/>
      <c r="H47" s="37">
        <v>25</v>
      </c>
      <c r="I47" s="108"/>
      <c r="J47" s="108"/>
      <c r="K47" s="108"/>
      <c r="L47" s="108"/>
      <c r="M47" s="108"/>
      <c r="N47" s="108"/>
      <c r="O47" s="46"/>
      <c r="P47" s="11"/>
      <c r="Q47" s="34"/>
      <c r="R47" s="50"/>
      <c r="S47" s="50"/>
      <c r="T47" s="5"/>
    </row>
    <row r="48" spans="7:20" ht="20.399999999999999">
      <c r="G48" s="5"/>
      <c r="H48" s="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7:20" ht="20.100000000000001" customHeight="1">
      <c r="G49" s="5"/>
      <c r="H49" s="12"/>
      <c r="I49" s="28"/>
      <c r="J49" s="28"/>
      <c r="K49" s="28"/>
      <c r="L49" s="28"/>
      <c r="M49" s="28"/>
      <c r="N49" s="28" t="s">
        <v>106</v>
      </c>
      <c r="O49" s="46">
        <f>SUM(O23:O47)</f>
        <v>0</v>
      </c>
      <c r="P49" s="28"/>
      <c r="Q49" s="28"/>
      <c r="R49" s="12"/>
      <c r="S49" s="58"/>
      <c r="T49" s="28"/>
    </row>
    <row r="50" spans="7:20" ht="20.399999999999999">
      <c r="G50" s="13"/>
      <c r="H50" s="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7:20" ht="20.399999999999999">
      <c r="G51" s="5"/>
      <c r="H51" s="3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7:20" ht="20.399999999999999">
      <c r="G52" s="5"/>
      <c r="H52" s="38" t="s">
        <v>107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7:20" ht="20.399999999999999">
      <c r="G53" s="26"/>
      <c r="H53" s="38" t="s">
        <v>108</v>
      </c>
      <c r="I53" s="5"/>
      <c r="J53" s="5"/>
      <c r="K53" s="5"/>
      <c r="L53" s="5"/>
      <c r="M53" s="5"/>
      <c r="N53" s="5"/>
      <c r="O53" s="5"/>
      <c r="P53" s="38"/>
      <c r="Q53" s="38"/>
      <c r="R53" s="38"/>
      <c r="S53" s="38"/>
      <c r="T53" s="38"/>
    </row>
    <row r="54" spans="7:20" ht="20.399999999999999">
      <c r="G54" s="26"/>
      <c r="H54" s="4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7:20" ht="20.399999999999999"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7:20" ht="19.8"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7:20" ht="19.8">
      <c r="G57" s="16"/>
      <c r="H57" s="44"/>
      <c r="I57" s="44"/>
      <c r="J57" s="44"/>
      <c r="K57" s="44"/>
      <c r="L57" s="44"/>
      <c r="M57" s="44"/>
      <c r="N57" s="17"/>
      <c r="O57" s="44"/>
      <c r="P57" s="44"/>
      <c r="Q57" s="44"/>
      <c r="R57" s="44"/>
      <c r="S57" s="44"/>
      <c r="T57" s="44"/>
    </row>
    <row r="58" spans="7:20" ht="19.8">
      <c r="G58" s="16"/>
      <c r="H58" s="95" t="s">
        <v>69</v>
      </c>
      <c r="I58" s="17"/>
      <c r="J58" s="17"/>
      <c r="K58" s="17"/>
      <c r="L58" s="17"/>
      <c r="M58" s="17"/>
      <c r="N58" s="17"/>
      <c r="O58" s="30"/>
      <c r="P58" s="95" t="s">
        <v>69</v>
      </c>
      <c r="Q58" s="17"/>
      <c r="R58" s="17"/>
      <c r="S58" s="17"/>
      <c r="T58" s="17"/>
    </row>
    <row r="59" spans="7:20" ht="19.8">
      <c r="G59" s="16"/>
      <c r="H59" s="31" t="s">
        <v>44</v>
      </c>
      <c r="I59" s="47"/>
      <c r="J59" s="47"/>
      <c r="K59" s="47"/>
      <c r="L59" s="47"/>
      <c r="M59" s="47"/>
      <c r="N59" s="17"/>
      <c r="O59" s="30"/>
      <c r="P59" s="31" t="s">
        <v>43</v>
      </c>
      <c r="Q59" s="31"/>
      <c r="R59" s="31"/>
      <c r="S59" s="31"/>
      <c r="T59" s="31"/>
    </row>
    <row r="60" spans="7:20" ht="19.8">
      <c r="G60" s="16"/>
      <c r="H60" s="17" t="s">
        <v>45</v>
      </c>
      <c r="I60" s="17"/>
      <c r="J60" s="17"/>
      <c r="K60" s="17"/>
      <c r="L60" s="17"/>
      <c r="M60" s="17"/>
      <c r="N60" s="17"/>
      <c r="O60" s="119"/>
      <c r="P60" s="119"/>
      <c r="Q60" s="119"/>
      <c r="R60" s="119"/>
      <c r="S60" s="119"/>
      <c r="T60" s="119"/>
    </row>
  </sheetData>
  <mergeCells count="41">
    <mergeCell ref="I44:N44"/>
    <mergeCell ref="I45:N45"/>
    <mergeCell ref="I46:N46"/>
    <mergeCell ref="I47:N47"/>
    <mergeCell ref="O60:T60"/>
    <mergeCell ref="I39:N39"/>
    <mergeCell ref="I40:N40"/>
    <mergeCell ref="I41:N41"/>
    <mergeCell ref="I42:N42"/>
    <mergeCell ref="I43:N43"/>
    <mergeCell ref="I34:N34"/>
    <mergeCell ref="I35:N35"/>
    <mergeCell ref="I36:N36"/>
    <mergeCell ref="I37:N37"/>
    <mergeCell ref="I38:N38"/>
    <mergeCell ref="I29:N29"/>
    <mergeCell ref="I30:N30"/>
    <mergeCell ref="I31:N31"/>
    <mergeCell ref="I32:N32"/>
    <mergeCell ref="I33:N33"/>
    <mergeCell ref="I24:N24"/>
    <mergeCell ref="I25:N25"/>
    <mergeCell ref="I26:N26"/>
    <mergeCell ref="I27:N27"/>
    <mergeCell ref="I28:N28"/>
    <mergeCell ref="H12:M12"/>
    <mergeCell ref="H13:M13"/>
    <mergeCell ref="Q13:R13"/>
    <mergeCell ref="L15:M15"/>
    <mergeCell ref="I23:N23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2">
    <dataValidation allowBlank="1" showInputMessage="1" sqref="H10:M10" xr:uid="{00000000-0002-0000-0600-000000000000}"/>
    <dataValidation allowBlank="1" showInputMessage="1" showErrorMessage="1" sqref="I23:J47" xr:uid="{00000000-0002-0000-0600-000001000000}"/>
  </dataValidations>
  <hyperlinks>
    <hyperlink ref="P6" r:id="rId1" xr:uid="{00000000-0004-0000-06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E1:T61"/>
  <sheetViews>
    <sheetView zoomScale="60" zoomScaleNormal="60" workbookViewId="0">
      <selection activeCell="H10" sqref="H10:M10"/>
    </sheetView>
  </sheetViews>
  <sheetFormatPr defaultColWidth="9.109375" defaultRowHeight="14.4"/>
  <cols>
    <col min="1" max="4" width="9.109375" style="52"/>
    <col min="5" max="6" width="9.109375" style="52" hidden="1" customWidth="1"/>
    <col min="7" max="7" width="4.33203125" style="52" customWidth="1"/>
    <col min="8" max="8" width="9.109375" style="52"/>
    <col min="9" max="9" width="19.44140625" style="52" customWidth="1"/>
    <col min="10" max="10" width="15" style="52" customWidth="1"/>
    <col min="11" max="11" width="11.44140625" style="52" customWidth="1"/>
    <col min="12" max="12" width="6.6640625" style="52" customWidth="1"/>
    <col min="13" max="13" width="15.88671875" style="52" customWidth="1"/>
    <col min="14" max="14" width="12.44140625" style="52" customWidth="1"/>
    <col min="15" max="15" width="9.33203125" style="52" customWidth="1"/>
    <col min="16" max="16" width="8.33203125" style="52" customWidth="1"/>
    <col min="17" max="18" width="13.33203125" style="52" customWidth="1"/>
    <col min="19" max="19" width="16.33203125" style="52" customWidth="1"/>
    <col min="20" max="20" width="4.33203125" style="52" customWidth="1"/>
    <col min="21" max="16384" width="9.109375" style="52"/>
  </cols>
  <sheetData>
    <row r="1" spans="5:20" ht="53.4" customHeight="1">
      <c r="G1" s="99" t="s">
        <v>109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110</v>
      </c>
      <c r="Q8" s="48"/>
      <c r="R8" s="49"/>
      <c r="S8" s="4"/>
      <c r="T8" s="4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53" t="s">
        <v>5</v>
      </c>
      <c r="F10" s="54" t="str">
        <f>IFERROR(MATCH(H10,Cust_ddown,0)+4,"")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02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</v>
      </c>
      <c r="Q12" s="6" t="s">
        <v>111</v>
      </c>
      <c r="R12" s="5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16</v>
      </c>
      <c r="Q13" s="106" t="s">
        <v>17</v>
      </c>
      <c r="R13" s="106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6"/>
      <c r="Q14" s="26"/>
      <c r="R14" s="27"/>
      <c r="S14" s="5"/>
      <c r="T14" s="5"/>
    </row>
    <row r="15" spans="5:20" ht="20.399999999999999">
      <c r="G15" s="5"/>
      <c r="H15" s="5" t="s">
        <v>18</v>
      </c>
      <c r="I15" s="5"/>
      <c r="J15" s="5"/>
      <c r="K15" s="27" t="s">
        <v>20</v>
      </c>
      <c r="L15" s="140"/>
      <c r="M15" s="140"/>
      <c r="N15" s="5"/>
      <c r="O15" s="26"/>
      <c r="P15" s="27"/>
      <c r="Q15" s="27"/>
      <c r="R15" s="27"/>
      <c r="S15" s="5"/>
      <c r="T15" s="5"/>
    </row>
    <row r="16" spans="5:20" ht="20.399999999999999">
      <c r="G16" s="5"/>
      <c r="H16" s="5" t="s">
        <v>77</v>
      </c>
      <c r="I16" s="5"/>
      <c r="J16" s="5"/>
      <c r="K16" s="6"/>
      <c r="L16" s="6"/>
      <c r="M16" s="6"/>
      <c r="N16" s="5"/>
      <c r="O16" s="5"/>
      <c r="P16" s="26"/>
      <c r="Q16" s="26"/>
      <c r="R16" s="26"/>
      <c r="S16" s="26"/>
      <c r="T16" s="5"/>
    </row>
    <row r="17" spans="5:20" ht="20.399999999999999">
      <c r="G17" s="38"/>
      <c r="H17" s="5"/>
      <c r="I17" s="5"/>
      <c r="J17" s="5"/>
      <c r="K17" s="6"/>
      <c r="L17" s="6"/>
      <c r="M17" s="6"/>
      <c r="N17" s="5"/>
      <c r="O17" s="6"/>
      <c r="P17" s="5"/>
      <c r="Q17" s="5"/>
      <c r="R17" s="5"/>
      <c r="S17" s="38"/>
      <c r="T17" s="38"/>
    </row>
    <row r="18" spans="5:20" ht="20.399999999999999">
      <c r="G18" s="38"/>
      <c r="H18" s="6"/>
      <c r="I18" s="6"/>
      <c r="J18" s="6"/>
      <c r="K18" s="6"/>
      <c r="L18" s="6"/>
      <c r="M18" s="6"/>
      <c r="N18" s="5"/>
      <c r="O18" s="6"/>
      <c r="P18" s="5"/>
      <c r="Q18" s="5"/>
      <c r="R18" s="5"/>
      <c r="S18" s="38"/>
      <c r="T18" s="38"/>
    </row>
    <row r="19" spans="5:20" ht="20.399999999999999">
      <c r="G19" s="5"/>
      <c r="H19" s="5"/>
      <c r="I19" s="5"/>
      <c r="J19" s="5"/>
      <c r="K19" s="6"/>
      <c r="L19" s="6"/>
      <c r="M19" s="6"/>
      <c r="N19" s="11"/>
      <c r="O19" s="5"/>
      <c r="P19" s="5"/>
      <c r="Q19" s="5"/>
      <c r="R19" s="5"/>
      <c r="S19" s="5"/>
      <c r="T19" s="5"/>
    </row>
    <row r="20" spans="5:20" ht="20.399999999999999">
      <c r="G20" s="5"/>
      <c r="H20" s="6"/>
      <c r="I20" s="5"/>
      <c r="J20" s="5"/>
      <c r="K20" s="6"/>
      <c r="L20" s="6"/>
      <c r="M20" s="6"/>
      <c r="N20" s="6"/>
      <c r="O20" s="5"/>
      <c r="P20" s="5"/>
      <c r="Q20" s="5"/>
      <c r="R20" s="5"/>
      <c r="S20" s="5"/>
      <c r="T20" s="5"/>
    </row>
    <row r="21" spans="5:20" ht="20.399999999999999">
      <c r="G21" s="5"/>
      <c r="H21" s="10" t="s">
        <v>21</v>
      </c>
      <c r="I21" s="6" t="s">
        <v>22</v>
      </c>
      <c r="J21" s="6"/>
      <c r="K21" s="6"/>
      <c r="L21" s="6"/>
      <c r="M21" s="6"/>
      <c r="N21" s="6"/>
      <c r="O21" s="6" t="s">
        <v>23</v>
      </c>
      <c r="P21" s="6" t="s">
        <v>24</v>
      </c>
      <c r="Q21" s="6" t="s">
        <v>25</v>
      </c>
      <c r="R21" s="5" t="s">
        <v>26</v>
      </c>
      <c r="S21" s="5" t="s">
        <v>27</v>
      </c>
      <c r="T21" s="5"/>
    </row>
    <row r="22" spans="5:20" ht="20.399999999999999">
      <c r="G22" s="5"/>
      <c r="H22" s="10"/>
      <c r="I22" s="5"/>
      <c r="J22" s="5"/>
      <c r="K22" s="6"/>
      <c r="L22" s="6"/>
      <c r="M22" s="6"/>
      <c r="N22" s="6"/>
      <c r="O22" s="6"/>
      <c r="P22" s="27"/>
      <c r="Q22" s="27"/>
      <c r="R22" s="5"/>
      <c r="S22" s="5"/>
      <c r="T22" s="5"/>
    </row>
    <row r="23" spans="5:20" ht="23.1" customHeight="1">
      <c r="E23" s="53"/>
      <c r="F23" s="54" t="str">
        <f>IFERROR(MATCH(I23,Prod_ddown,0)+4,"")</f>
        <v/>
      </c>
      <c r="G23" s="5"/>
      <c r="H23" s="37">
        <v>1</v>
      </c>
      <c r="I23" s="108"/>
      <c r="J23" s="108"/>
      <c r="K23" s="108"/>
      <c r="L23" s="108"/>
      <c r="M23" s="108"/>
      <c r="N23" s="108"/>
      <c r="O23" s="46"/>
      <c r="P23" s="11"/>
      <c r="Q23" s="34"/>
      <c r="R23" s="50"/>
      <c r="S23" s="50">
        <f>(O23*Q23)-R23</f>
        <v>0</v>
      </c>
      <c r="T23" s="5"/>
    </row>
    <row r="24" spans="5:20" ht="23.1" customHeight="1">
      <c r="F24" s="54" t="str">
        <f>IFERROR(MATCH(I24,Prod_ddown,0)+4,"")</f>
        <v/>
      </c>
      <c r="G24" s="5"/>
      <c r="H24" s="37">
        <v>2</v>
      </c>
      <c r="I24" s="108"/>
      <c r="J24" s="108"/>
      <c r="K24" s="108"/>
      <c r="L24" s="108"/>
      <c r="M24" s="108"/>
      <c r="N24" s="108"/>
      <c r="O24" s="46"/>
      <c r="P24" s="11"/>
      <c r="Q24" s="34"/>
      <c r="R24" s="50"/>
      <c r="S24" s="50">
        <f t="shared" ref="S24:S47" si="0">(O24*Q24)-R24</f>
        <v>0</v>
      </c>
      <c r="T24" s="5"/>
    </row>
    <row r="25" spans="5:20" ht="23.1" customHeight="1">
      <c r="G25" s="5"/>
      <c r="H25" s="37">
        <v>3</v>
      </c>
      <c r="I25" s="108"/>
      <c r="J25" s="108"/>
      <c r="K25" s="108"/>
      <c r="L25" s="108"/>
      <c r="M25" s="108"/>
      <c r="N25" s="108"/>
      <c r="O25" s="46"/>
      <c r="P25" s="11"/>
      <c r="Q25" s="34"/>
      <c r="R25" s="50"/>
      <c r="S25" s="50">
        <f t="shared" si="0"/>
        <v>0</v>
      </c>
      <c r="T25" s="5"/>
    </row>
    <row r="26" spans="5:20" ht="23.1" customHeight="1">
      <c r="G26" s="5"/>
      <c r="H26" s="37">
        <v>4</v>
      </c>
      <c r="I26" s="108"/>
      <c r="J26" s="108"/>
      <c r="K26" s="108"/>
      <c r="L26" s="108"/>
      <c r="M26" s="108"/>
      <c r="N26" s="108"/>
      <c r="O26" s="46"/>
      <c r="P26" s="11"/>
      <c r="Q26" s="34"/>
      <c r="R26" s="50"/>
      <c r="S26" s="50">
        <f t="shared" si="0"/>
        <v>0</v>
      </c>
      <c r="T26" s="5"/>
    </row>
    <row r="27" spans="5:20" ht="23.1" customHeight="1">
      <c r="G27" s="5"/>
      <c r="H27" s="37">
        <v>5</v>
      </c>
      <c r="I27" s="108"/>
      <c r="J27" s="108"/>
      <c r="K27" s="108"/>
      <c r="L27" s="108"/>
      <c r="M27" s="108"/>
      <c r="N27" s="108"/>
      <c r="O27" s="46"/>
      <c r="P27" s="11"/>
      <c r="Q27" s="34"/>
      <c r="R27" s="50"/>
      <c r="S27" s="50">
        <f t="shared" si="0"/>
        <v>0</v>
      </c>
      <c r="T27" s="5"/>
    </row>
    <row r="28" spans="5:20" ht="23.1" customHeight="1">
      <c r="G28" s="5"/>
      <c r="H28" s="37">
        <v>6</v>
      </c>
      <c r="I28" s="108"/>
      <c r="J28" s="108"/>
      <c r="K28" s="108"/>
      <c r="L28" s="108"/>
      <c r="M28" s="108"/>
      <c r="N28" s="108"/>
      <c r="O28" s="46"/>
      <c r="P28" s="11"/>
      <c r="Q28" s="34"/>
      <c r="R28" s="50"/>
      <c r="S28" s="50">
        <f t="shared" si="0"/>
        <v>0</v>
      </c>
      <c r="T28" s="5"/>
    </row>
    <row r="29" spans="5:20" ht="23.1" customHeight="1">
      <c r="G29" s="5"/>
      <c r="H29" s="37">
        <v>7</v>
      </c>
      <c r="I29" s="108"/>
      <c r="J29" s="108"/>
      <c r="K29" s="108"/>
      <c r="L29" s="108"/>
      <c r="M29" s="108"/>
      <c r="N29" s="108"/>
      <c r="O29" s="46"/>
      <c r="P29" s="11"/>
      <c r="Q29" s="34"/>
      <c r="R29" s="50"/>
      <c r="S29" s="50">
        <f t="shared" si="0"/>
        <v>0</v>
      </c>
      <c r="T29" s="5"/>
    </row>
    <row r="30" spans="5:20" ht="23.1" customHeight="1">
      <c r="G30" s="5"/>
      <c r="H30" s="37">
        <v>8</v>
      </c>
      <c r="I30" s="108"/>
      <c r="J30" s="108"/>
      <c r="K30" s="108"/>
      <c r="L30" s="108"/>
      <c r="M30" s="108"/>
      <c r="N30" s="108"/>
      <c r="O30" s="46"/>
      <c r="P30" s="11"/>
      <c r="Q30" s="34"/>
      <c r="R30" s="50"/>
      <c r="S30" s="50">
        <f t="shared" si="0"/>
        <v>0</v>
      </c>
      <c r="T30" s="5"/>
    </row>
    <row r="31" spans="5:20" ht="23.1" customHeight="1">
      <c r="G31" s="5"/>
      <c r="H31" s="37">
        <v>9</v>
      </c>
      <c r="I31" s="108"/>
      <c r="J31" s="108"/>
      <c r="K31" s="108"/>
      <c r="L31" s="108"/>
      <c r="M31" s="108"/>
      <c r="N31" s="108"/>
      <c r="O31" s="46"/>
      <c r="P31" s="11"/>
      <c r="Q31" s="34"/>
      <c r="R31" s="50"/>
      <c r="S31" s="50">
        <f t="shared" si="0"/>
        <v>0</v>
      </c>
      <c r="T31" s="5"/>
    </row>
    <row r="32" spans="5:20" ht="23.1" customHeight="1">
      <c r="G32" s="5"/>
      <c r="H32" s="37">
        <v>10</v>
      </c>
      <c r="I32" s="108"/>
      <c r="J32" s="108"/>
      <c r="K32" s="108"/>
      <c r="L32" s="108"/>
      <c r="M32" s="108"/>
      <c r="N32" s="108"/>
      <c r="O32" s="46"/>
      <c r="P32" s="11"/>
      <c r="Q32" s="34"/>
      <c r="R32" s="50"/>
      <c r="S32" s="50">
        <f t="shared" si="0"/>
        <v>0</v>
      </c>
      <c r="T32" s="5"/>
    </row>
    <row r="33" spans="7:20" ht="23.1" customHeight="1">
      <c r="G33" s="5"/>
      <c r="H33" s="37">
        <v>11</v>
      </c>
      <c r="I33" s="108"/>
      <c r="J33" s="108"/>
      <c r="K33" s="108"/>
      <c r="L33" s="108"/>
      <c r="M33" s="108"/>
      <c r="N33" s="108"/>
      <c r="O33" s="46"/>
      <c r="P33" s="11"/>
      <c r="Q33" s="34"/>
      <c r="R33" s="50"/>
      <c r="S33" s="50">
        <f t="shared" si="0"/>
        <v>0</v>
      </c>
      <c r="T33" s="5"/>
    </row>
    <row r="34" spans="7:20" ht="23.1" customHeight="1">
      <c r="G34" s="5"/>
      <c r="H34" s="37">
        <v>12</v>
      </c>
      <c r="I34" s="108"/>
      <c r="J34" s="108"/>
      <c r="K34" s="108"/>
      <c r="L34" s="108"/>
      <c r="M34" s="108"/>
      <c r="N34" s="108"/>
      <c r="O34" s="46"/>
      <c r="P34" s="11"/>
      <c r="Q34" s="34"/>
      <c r="R34" s="50"/>
      <c r="S34" s="50">
        <f t="shared" si="0"/>
        <v>0</v>
      </c>
      <c r="T34" s="5"/>
    </row>
    <row r="35" spans="7:20" ht="23.1" customHeight="1">
      <c r="G35" s="5"/>
      <c r="H35" s="37">
        <v>13</v>
      </c>
      <c r="I35" s="108"/>
      <c r="J35" s="108"/>
      <c r="K35" s="108"/>
      <c r="L35" s="108"/>
      <c r="M35" s="108"/>
      <c r="N35" s="108"/>
      <c r="O35" s="46"/>
      <c r="P35" s="11"/>
      <c r="Q35" s="34"/>
      <c r="R35" s="50"/>
      <c r="S35" s="50">
        <f t="shared" si="0"/>
        <v>0</v>
      </c>
      <c r="T35" s="5"/>
    </row>
    <row r="36" spans="7:20" ht="23.1" customHeight="1">
      <c r="G36" s="5"/>
      <c r="H36" s="37">
        <v>14</v>
      </c>
      <c r="I36" s="108"/>
      <c r="J36" s="108"/>
      <c r="K36" s="108"/>
      <c r="L36" s="108"/>
      <c r="M36" s="108"/>
      <c r="N36" s="108"/>
      <c r="O36" s="46"/>
      <c r="P36" s="11"/>
      <c r="Q36" s="34"/>
      <c r="R36" s="50"/>
      <c r="S36" s="50">
        <f t="shared" si="0"/>
        <v>0</v>
      </c>
      <c r="T36" s="5"/>
    </row>
    <row r="37" spans="7:20" ht="23.1" customHeight="1">
      <c r="G37" s="5"/>
      <c r="H37" s="37">
        <v>15</v>
      </c>
      <c r="I37" s="108"/>
      <c r="J37" s="108"/>
      <c r="K37" s="108"/>
      <c r="L37" s="108"/>
      <c r="M37" s="108"/>
      <c r="N37" s="108"/>
      <c r="O37" s="46"/>
      <c r="P37" s="11"/>
      <c r="Q37" s="34"/>
      <c r="R37" s="50"/>
      <c r="S37" s="50">
        <f t="shared" si="0"/>
        <v>0</v>
      </c>
      <c r="T37" s="5"/>
    </row>
    <row r="38" spans="7:20" ht="23.1" customHeight="1">
      <c r="G38" s="5"/>
      <c r="H38" s="37">
        <v>16</v>
      </c>
      <c r="I38" s="108"/>
      <c r="J38" s="108"/>
      <c r="K38" s="108"/>
      <c r="L38" s="108"/>
      <c r="M38" s="108"/>
      <c r="N38" s="108"/>
      <c r="O38" s="46"/>
      <c r="P38" s="11"/>
      <c r="Q38" s="34"/>
      <c r="R38" s="50"/>
      <c r="S38" s="50">
        <f t="shared" si="0"/>
        <v>0</v>
      </c>
      <c r="T38" s="5"/>
    </row>
    <row r="39" spans="7:20" ht="23.1" customHeight="1">
      <c r="G39" s="5"/>
      <c r="H39" s="37">
        <v>17</v>
      </c>
      <c r="I39" s="108"/>
      <c r="J39" s="108"/>
      <c r="K39" s="108"/>
      <c r="L39" s="108"/>
      <c r="M39" s="108"/>
      <c r="N39" s="108"/>
      <c r="O39" s="46"/>
      <c r="P39" s="11"/>
      <c r="Q39" s="34"/>
      <c r="R39" s="50"/>
      <c r="S39" s="50">
        <f t="shared" si="0"/>
        <v>0</v>
      </c>
      <c r="T39" s="5"/>
    </row>
    <row r="40" spans="7:20" ht="23.1" customHeight="1">
      <c r="G40" s="5"/>
      <c r="H40" s="37">
        <v>18</v>
      </c>
      <c r="I40" s="108"/>
      <c r="J40" s="108"/>
      <c r="K40" s="108"/>
      <c r="L40" s="108"/>
      <c r="M40" s="108"/>
      <c r="N40" s="108"/>
      <c r="O40" s="46"/>
      <c r="P40" s="11"/>
      <c r="Q40" s="34"/>
      <c r="R40" s="50"/>
      <c r="S40" s="50">
        <f t="shared" si="0"/>
        <v>0</v>
      </c>
      <c r="T40" s="5"/>
    </row>
    <row r="41" spans="7:20" ht="23.1" customHeight="1">
      <c r="G41" s="28"/>
      <c r="H41" s="37">
        <v>19</v>
      </c>
      <c r="I41" s="108"/>
      <c r="J41" s="108"/>
      <c r="K41" s="108"/>
      <c r="L41" s="108"/>
      <c r="M41" s="108"/>
      <c r="N41" s="108"/>
      <c r="O41" s="46"/>
      <c r="P41" s="11"/>
      <c r="Q41" s="34"/>
      <c r="R41" s="50"/>
      <c r="S41" s="50">
        <f t="shared" si="0"/>
        <v>0</v>
      </c>
      <c r="T41" s="5"/>
    </row>
    <row r="42" spans="7:20" ht="23.1" customHeight="1">
      <c r="G42" s="28"/>
      <c r="H42" s="37">
        <v>20</v>
      </c>
      <c r="I42" s="108"/>
      <c r="J42" s="108"/>
      <c r="K42" s="108"/>
      <c r="L42" s="108"/>
      <c r="M42" s="108"/>
      <c r="N42" s="108"/>
      <c r="O42" s="46"/>
      <c r="P42" s="11"/>
      <c r="Q42" s="34"/>
      <c r="R42" s="50"/>
      <c r="S42" s="50">
        <f t="shared" si="0"/>
        <v>0</v>
      </c>
      <c r="T42" s="5"/>
    </row>
    <row r="43" spans="7:20" ht="23.1" customHeight="1">
      <c r="G43" s="28"/>
      <c r="H43" s="37">
        <v>21</v>
      </c>
      <c r="I43" s="108"/>
      <c r="J43" s="108"/>
      <c r="K43" s="108"/>
      <c r="L43" s="108"/>
      <c r="M43" s="108"/>
      <c r="N43" s="108"/>
      <c r="O43" s="46"/>
      <c r="P43" s="11"/>
      <c r="Q43" s="34"/>
      <c r="R43" s="50"/>
      <c r="S43" s="50">
        <f t="shared" si="0"/>
        <v>0</v>
      </c>
      <c r="T43" s="5"/>
    </row>
    <row r="44" spans="7:20" ht="23.1" customHeight="1">
      <c r="G44" s="28"/>
      <c r="H44" s="37">
        <v>22</v>
      </c>
      <c r="I44" s="108"/>
      <c r="J44" s="108"/>
      <c r="K44" s="108"/>
      <c r="L44" s="108"/>
      <c r="M44" s="108"/>
      <c r="N44" s="108"/>
      <c r="O44" s="46"/>
      <c r="P44" s="11"/>
      <c r="Q44" s="34"/>
      <c r="R44" s="50"/>
      <c r="S44" s="50">
        <f t="shared" si="0"/>
        <v>0</v>
      </c>
      <c r="T44" s="5"/>
    </row>
    <row r="45" spans="7:20" ht="23.1" customHeight="1">
      <c r="G45" s="28"/>
      <c r="H45" s="37">
        <v>23</v>
      </c>
      <c r="I45" s="108"/>
      <c r="J45" s="108"/>
      <c r="K45" s="108"/>
      <c r="L45" s="108"/>
      <c r="M45" s="108"/>
      <c r="N45" s="108"/>
      <c r="O45" s="46"/>
      <c r="P45" s="11"/>
      <c r="Q45" s="34"/>
      <c r="R45" s="50"/>
      <c r="S45" s="50">
        <f t="shared" si="0"/>
        <v>0</v>
      </c>
      <c r="T45" s="5"/>
    </row>
    <row r="46" spans="7:20" ht="23.1" customHeight="1">
      <c r="G46" s="5"/>
      <c r="H46" s="37">
        <v>24</v>
      </c>
      <c r="I46" s="108"/>
      <c r="J46" s="108"/>
      <c r="K46" s="108"/>
      <c r="L46" s="108"/>
      <c r="M46" s="108"/>
      <c r="N46" s="108"/>
      <c r="O46" s="46"/>
      <c r="P46" s="11"/>
      <c r="Q46" s="34"/>
      <c r="R46" s="50"/>
      <c r="S46" s="50">
        <f t="shared" si="0"/>
        <v>0</v>
      </c>
      <c r="T46" s="5"/>
    </row>
    <row r="47" spans="7:20" ht="23.1" customHeight="1">
      <c r="G47" s="5"/>
      <c r="H47" s="37">
        <v>25</v>
      </c>
      <c r="I47" s="108"/>
      <c r="J47" s="108"/>
      <c r="K47" s="108"/>
      <c r="L47" s="108"/>
      <c r="M47" s="108"/>
      <c r="N47" s="108"/>
      <c r="O47" s="46"/>
      <c r="P47" s="11"/>
      <c r="Q47" s="34"/>
      <c r="R47" s="50"/>
      <c r="S47" s="50">
        <f t="shared" si="0"/>
        <v>0</v>
      </c>
      <c r="T47" s="5"/>
    </row>
    <row r="48" spans="7:20" ht="20.399999999999999">
      <c r="G48" s="5"/>
      <c r="H48" s="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7:20" ht="20.100000000000001" customHeight="1">
      <c r="G49" s="5"/>
      <c r="H49" s="12" t="s">
        <v>34</v>
      </c>
      <c r="I49" s="28"/>
      <c r="J49" s="28"/>
      <c r="K49" s="28"/>
      <c r="L49" s="28"/>
      <c r="M49" s="28"/>
      <c r="N49" s="28"/>
      <c r="O49" s="28"/>
      <c r="P49" s="28"/>
      <c r="Q49" s="28"/>
      <c r="R49" s="12" t="s">
        <v>36</v>
      </c>
      <c r="S49" s="51">
        <f>SUM(S23:S47)</f>
        <v>0</v>
      </c>
      <c r="T49" s="28"/>
    </row>
    <row r="50" spans="7:20" ht="20.399999999999999">
      <c r="G50" s="55"/>
      <c r="H50" s="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7:20" ht="20.399999999999999">
      <c r="G51" s="5"/>
      <c r="H51" s="38" t="s">
        <v>99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7:20" ht="20.399999999999999">
      <c r="G52" s="5"/>
      <c r="H52" s="26" t="s">
        <v>112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7:20" ht="20.399999999999999">
      <c r="G53" s="26"/>
      <c r="H53" s="26" t="s">
        <v>101</v>
      </c>
      <c r="I53" s="5"/>
      <c r="J53" s="5"/>
      <c r="K53" s="5"/>
      <c r="L53" s="5"/>
      <c r="M53" s="5"/>
      <c r="N53" s="5"/>
      <c r="O53" s="5"/>
      <c r="P53" s="38"/>
      <c r="Q53" s="38"/>
      <c r="R53" s="38"/>
      <c r="S53" s="38"/>
      <c r="T53" s="38"/>
    </row>
    <row r="54" spans="7:20" ht="20.399999999999999">
      <c r="G54" s="26"/>
      <c r="H54" s="26" t="s">
        <v>102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7:20" ht="20.399999999999999"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7:20" ht="19.8"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7:20" ht="19.8">
      <c r="G57" s="16"/>
      <c r="H57" s="56"/>
      <c r="I57" s="56"/>
      <c r="J57" s="56"/>
      <c r="K57" s="56"/>
      <c r="L57" s="56"/>
      <c r="M57" s="56"/>
      <c r="N57" s="17"/>
      <c r="O57" s="56"/>
      <c r="P57" s="56"/>
      <c r="Q57" s="56"/>
      <c r="R57" s="56"/>
      <c r="S57" s="56"/>
      <c r="T57" s="56"/>
    </row>
    <row r="58" spans="7:20" ht="19.8">
      <c r="G58" s="16"/>
      <c r="H58" s="17"/>
      <c r="I58" s="17"/>
      <c r="J58" s="17"/>
      <c r="K58" s="17"/>
      <c r="L58" s="17"/>
      <c r="M58" s="17"/>
      <c r="N58" s="17"/>
      <c r="O58" s="57"/>
      <c r="P58" s="95" t="s">
        <v>69</v>
      </c>
      <c r="Q58" s="17"/>
      <c r="R58" s="17"/>
      <c r="S58" s="17"/>
      <c r="T58" s="17"/>
    </row>
    <row r="59" spans="7:20" ht="19.8">
      <c r="G59" s="16"/>
      <c r="H59" s="31"/>
      <c r="I59" s="47"/>
      <c r="J59" s="47"/>
      <c r="K59" s="47"/>
      <c r="L59" s="47"/>
      <c r="M59" s="47"/>
      <c r="N59" s="17"/>
      <c r="O59" s="57"/>
      <c r="P59" s="31" t="s">
        <v>43</v>
      </c>
      <c r="Q59" s="31"/>
      <c r="R59" s="31"/>
      <c r="S59" s="31"/>
      <c r="T59" s="31"/>
    </row>
    <row r="60" spans="7:20" ht="19.8">
      <c r="G60" s="16"/>
      <c r="H60" s="17"/>
      <c r="I60" s="17"/>
      <c r="J60" s="17"/>
      <c r="K60" s="17"/>
      <c r="L60" s="17"/>
      <c r="M60" s="17"/>
      <c r="N60" s="17"/>
      <c r="O60" s="119"/>
      <c r="P60" s="119"/>
      <c r="Q60" s="119"/>
      <c r="R60" s="119"/>
      <c r="S60" s="119"/>
      <c r="T60" s="119"/>
    </row>
    <row r="61" spans="7:20" ht="19.2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</sheetData>
  <mergeCells count="41">
    <mergeCell ref="I44:N44"/>
    <mergeCell ref="I45:N45"/>
    <mergeCell ref="I46:N46"/>
    <mergeCell ref="I47:N47"/>
    <mergeCell ref="O60:T60"/>
    <mergeCell ref="I39:N39"/>
    <mergeCell ref="I40:N40"/>
    <mergeCell ref="I41:N41"/>
    <mergeCell ref="I42:N42"/>
    <mergeCell ref="I43:N43"/>
    <mergeCell ref="I34:N34"/>
    <mergeCell ref="I35:N35"/>
    <mergeCell ref="I36:N36"/>
    <mergeCell ref="I37:N37"/>
    <mergeCell ref="I38:N38"/>
    <mergeCell ref="I29:N29"/>
    <mergeCell ref="I30:N30"/>
    <mergeCell ref="I31:N31"/>
    <mergeCell ref="I32:N32"/>
    <mergeCell ref="I33:N33"/>
    <mergeCell ref="I24:N24"/>
    <mergeCell ref="I25:N25"/>
    <mergeCell ref="I26:N26"/>
    <mergeCell ref="I27:N27"/>
    <mergeCell ref="I28:N28"/>
    <mergeCell ref="H12:M12"/>
    <mergeCell ref="H13:M13"/>
    <mergeCell ref="Q13:R13"/>
    <mergeCell ref="L15:M15"/>
    <mergeCell ref="I23:N23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2">
    <dataValidation allowBlank="1" showInputMessage="1" sqref="H10:M10" xr:uid="{00000000-0002-0000-0700-000000000000}"/>
    <dataValidation allowBlank="1" showInputMessage="1" showErrorMessage="1" sqref="I23:J47" xr:uid="{00000000-0002-0000-0700-000001000000}"/>
  </dataValidations>
  <hyperlinks>
    <hyperlink ref="P6" r:id="rId1" xr:uid="{00000000-0004-0000-07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E1:T61"/>
  <sheetViews>
    <sheetView zoomScale="60" zoomScaleNormal="60" workbookViewId="0">
      <selection activeCell="H10" sqref="H10:M10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113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4"/>
      <c r="H8" s="42"/>
      <c r="I8" s="4"/>
      <c r="J8" s="4"/>
      <c r="K8" s="4"/>
      <c r="L8" s="4"/>
      <c r="M8" s="4"/>
      <c r="N8" s="4"/>
      <c r="O8" s="42"/>
      <c r="P8" s="45" t="s">
        <v>114</v>
      </c>
      <c r="Q8" s="48"/>
      <c r="R8" s="49"/>
      <c r="S8" s="4"/>
      <c r="T8" s="4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115</v>
      </c>
      <c r="F10" s="8" t="str">
        <f>IFERROR(MATCH(H10,Supp_ddown,0)+4,"")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02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116</v>
      </c>
      <c r="Q12" s="106"/>
      <c r="R12" s="106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12</v>
      </c>
      <c r="Q13" s="6"/>
      <c r="R13" s="5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7" t="s">
        <v>16</v>
      </c>
      <c r="Q14" s="106" t="s">
        <v>17</v>
      </c>
      <c r="R14" s="106"/>
      <c r="S14" s="5"/>
      <c r="T14" s="5"/>
    </row>
    <row r="15" spans="5:20" ht="20.399999999999999">
      <c r="G15" s="5"/>
      <c r="H15" s="5" t="s">
        <v>18</v>
      </c>
      <c r="I15" s="6"/>
      <c r="J15" s="6"/>
      <c r="K15" s="27" t="s">
        <v>20</v>
      </c>
      <c r="L15" s="140"/>
      <c r="M15" s="140"/>
      <c r="N15" s="5"/>
      <c r="O15" s="26"/>
      <c r="P15" s="27"/>
      <c r="Q15" s="27"/>
      <c r="R15" s="27"/>
      <c r="S15" s="5"/>
      <c r="T15" s="5"/>
    </row>
    <row r="16" spans="5:20" ht="20.399999999999999">
      <c r="G16" s="5"/>
      <c r="H16" s="5" t="s">
        <v>77</v>
      </c>
      <c r="I16" s="5"/>
      <c r="J16" s="5"/>
      <c r="K16" s="6"/>
      <c r="L16" s="6"/>
      <c r="M16" s="6"/>
      <c r="N16" s="5"/>
      <c r="O16" s="5"/>
      <c r="P16" s="26"/>
      <c r="Q16" s="26"/>
      <c r="R16" s="26"/>
      <c r="S16" s="26"/>
      <c r="T16" s="5"/>
    </row>
    <row r="17" spans="5:20" ht="20.399999999999999">
      <c r="G17" s="38"/>
      <c r="H17" s="5"/>
      <c r="I17" s="5"/>
      <c r="J17" s="5"/>
      <c r="K17" s="6"/>
      <c r="L17" s="6"/>
      <c r="M17" s="6"/>
      <c r="N17" s="5"/>
      <c r="O17" s="6"/>
      <c r="P17" s="5"/>
      <c r="Q17" s="5"/>
      <c r="R17" s="5"/>
      <c r="S17" s="38"/>
      <c r="T17" s="38"/>
    </row>
    <row r="18" spans="5:20" ht="20.399999999999999">
      <c r="G18" s="38"/>
      <c r="H18" s="6"/>
      <c r="I18" s="6"/>
      <c r="J18" s="6"/>
      <c r="K18" s="6"/>
      <c r="L18" s="6"/>
      <c r="M18" s="6"/>
      <c r="N18" s="5"/>
      <c r="O18" s="6"/>
      <c r="P18" s="5"/>
      <c r="Q18" s="5"/>
      <c r="R18" s="5"/>
      <c r="S18" s="38"/>
      <c r="T18" s="38"/>
    </row>
    <row r="19" spans="5:20" ht="20.399999999999999">
      <c r="G19" s="5"/>
      <c r="H19" s="5"/>
      <c r="I19" s="5"/>
      <c r="J19" s="5"/>
      <c r="K19" s="6"/>
      <c r="L19" s="6"/>
      <c r="M19" s="6"/>
      <c r="N19" s="11"/>
      <c r="O19" s="5"/>
      <c r="P19" s="5"/>
      <c r="Q19" s="5"/>
      <c r="R19" s="5"/>
      <c r="S19" s="5"/>
      <c r="T19" s="5"/>
    </row>
    <row r="20" spans="5:20" ht="20.399999999999999">
      <c r="G20" s="5"/>
      <c r="H20" s="6"/>
      <c r="I20" s="5"/>
      <c r="J20" s="5"/>
      <c r="K20" s="6"/>
      <c r="L20" s="6"/>
      <c r="M20" s="6"/>
      <c r="N20" s="6"/>
      <c r="O20" s="5"/>
      <c r="P20" s="5"/>
      <c r="Q20" s="5"/>
      <c r="R20" s="5"/>
      <c r="S20" s="5"/>
      <c r="T20" s="5"/>
    </row>
    <row r="21" spans="5:20" ht="20.399999999999999">
      <c r="G21" s="5"/>
      <c r="H21" s="10" t="s">
        <v>21</v>
      </c>
      <c r="I21" s="6" t="s">
        <v>22</v>
      </c>
      <c r="J21" s="6"/>
      <c r="K21" s="6"/>
      <c r="L21" s="6"/>
      <c r="M21" s="6"/>
      <c r="N21" s="6"/>
      <c r="O21" s="6" t="s">
        <v>23</v>
      </c>
      <c r="P21" s="6" t="s">
        <v>24</v>
      </c>
      <c r="Q21" s="6" t="s">
        <v>25</v>
      </c>
      <c r="R21" s="5"/>
      <c r="S21" s="5" t="s">
        <v>27</v>
      </c>
      <c r="T21" s="5"/>
    </row>
    <row r="22" spans="5:20" ht="20.399999999999999">
      <c r="G22" s="5"/>
      <c r="H22" s="10"/>
      <c r="I22" s="5"/>
      <c r="J22" s="5"/>
      <c r="K22" s="6"/>
      <c r="L22" s="6"/>
      <c r="M22" s="6"/>
      <c r="N22" s="6"/>
      <c r="O22" s="6"/>
      <c r="P22" s="27"/>
      <c r="Q22" s="27"/>
      <c r="R22" s="5"/>
      <c r="S22" s="5"/>
      <c r="T22" s="5"/>
    </row>
    <row r="23" spans="5:20" ht="23.1" customHeight="1">
      <c r="E23" s="7"/>
      <c r="F23" s="8" t="str">
        <f>IFERROR(MATCH(I23,Prod_ddown,0)+4,"")</f>
        <v/>
      </c>
      <c r="G23" s="5"/>
      <c r="H23" s="37">
        <v>1</v>
      </c>
      <c r="I23" s="108"/>
      <c r="J23" s="108"/>
      <c r="K23" s="108"/>
      <c r="L23" s="108"/>
      <c r="M23" s="108"/>
      <c r="N23" s="108"/>
      <c r="O23" s="46"/>
      <c r="P23" s="11"/>
      <c r="Q23" s="34"/>
      <c r="R23" s="50"/>
      <c r="S23" s="50">
        <f>(O23*Q23)</f>
        <v>0</v>
      </c>
      <c r="T23" s="5"/>
    </row>
    <row r="24" spans="5:20" ht="23.1" customHeight="1">
      <c r="F24" s="8" t="str">
        <f>IFERROR(MATCH(I24,Prod_ddown,0)+4,"")</f>
        <v/>
      </c>
      <c r="G24" s="5"/>
      <c r="H24" s="37">
        <v>2</v>
      </c>
      <c r="I24" s="108"/>
      <c r="J24" s="108"/>
      <c r="K24" s="108"/>
      <c r="L24" s="108"/>
      <c r="M24" s="108"/>
      <c r="N24" s="108"/>
      <c r="O24" s="46"/>
      <c r="P24" s="11"/>
      <c r="Q24" s="34"/>
      <c r="R24" s="50"/>
      <c r="S24" s="50">
        <f t="shared" ref="S24:S47" si="0">(O24*Q24)</f>
        <v>0</v>
      </c>
      <c r="T24" s="5"/>
    </row>
    <row r="25" spans="5:20" ht="23.1" customHeight="1">
      <c r="G25" s="5"/>
      <c r="H25" s="37">
        <v>3</v>
      </c>
      <c r="I25" s="108"/>
      <c r="J25" s="108"/>
      <c r="K25" s="108"/>
      <c r="L25" s="108"/>
      <c r="M25" s="108"/>
      <c r="N25" s="108"/>
      <c r="O25" s="46"/>
      <c r="P25" s="11"/>
      <c r="Q25" s="34"/>
      <c r="R25" s="50"/>
      <c r="S25" s="50">
        <f t="shared" si="0"/>
        <v>0</v>
      </c>
      <c r="T25" s="5"/>
    </row>
    <row r="26" spans="5:20" ht="23.1" customHeight="1">
      <c r="G26" s="5"/>
      <c r="H26" s="37">
        <v>4</v>
      </c>
      <c r="I26" s="108"/>
      <c r="J26" s="108"/>
      <c r="K26" s="108"/>
      <c r="L26" s="108"/>
      <c r="M26" s="108"/>
      <c r="N26" s="108"/>
      <c r="O26" s="46"/>
      <c r="P26" s="11"/>
      <c r="Q26" s="34"/>
      <c r="R26" s="50"/>
      <c r="S26" s="50">
        <f t="shared" si="0"/>
        <v>0</v>
      </c>
      <c r="T26" s="5"/>
    </row>
    <row r="27" spans="5:20" ht="23.1" customHeight="1">
      <c r="G27" s="5"/>
      <c r="H27" s="37">
        <v>5</v>
      </c>
      <c r="I27" s="108"/>
      <c r="J27" s="108"/>
      <c r="K27" s="108"/>
      <c r="L27" s="108"/>
      <c r="M27" s="108"/>
      <c r="N27" s="108"/>
      <c r="O27" s="46"/>
      <c r="P27" s="11"/>
      <c r="Q27" s="34"/>
      <c r="R27" s="50"/>
      <c r="S27" s="50">
        <f t="shared" si="0"/>
        <v>0</v>
      </c>
      <c r="T27" s="5"/>
    </row>
    <row r="28" spans="5:20" ht="23.1" customHeight="1">
      <c r="G28" s="5"/>
      <c r="H28" s="37">
        <v>6</v>
      </c>
      <c r="I28" s="108"/>
      <c r="J28" s="108"/>
      <c r="K28" s="108"/>
      <c r="L28" s="108"/>
      <c r="M28" s="108"/>
      <c r="N28" s="108"/>
      <c r="O28" s="46"/>
      <c r="P28" s="11"/>
      <c r="Q28" s="34"/>
      <c r="R28" s="50"/>
      <c r="S28" s="50">
        <f t="shared" si="0"/>
        <v>0</v>
      </c>
      <c r="T28" s="5"/>
    </row>
    <row r="29" spans="5:20" ht="23.1" customHeight="1">
      <c r="G29" s="5"/>
      <c r="H29" s="37">
        <v>7</v>
      </c>
      <c r="I29" s="108"/>
      <c r="J29" s="108"/>
      <c r="K29" s="108"/>
      <c r="L29" s="108"/>
      <c r="M29" s="108"/>
      <c r="N29" s="108"/>
      <c r="O29" s="46"/>
      <c r="P29" s="11"/>
      <c r="Q29" s="34"/>
      <c r="R29" s="50"/>
      <c r="S29" s="50">
        <f t="shared" si="0"/>
        <v>0</v>
      </c>
      <c r="T29" s="5"/>
    </row>
    <row r="30" spans="5:20" ht="23.1" customHeight="1">
      <c r="G30" s="5"/>
      <c r="H30" s="37">
        <v>8</v>
      </c>
      <c r="I30" s="108"/>
      <c r="J30" s="108"/>
      <c r="K30" s="108"/>
      <c r="L30" s="108"/>
      <c r="M30" s="108"/>
      <c r="N30" s="108"/>
      <c r="O30" s="46"/>
      <c r="P30" s="11"/>
      <c r="Q30" s="34"/>
      <c r="R30" s="50"/>
      <c r="S30" s="50">
        <f t="shared" si="0"/>
        <v>0</v>
      </c>
      <c r="T30" s="5"/>
    </row>
    <row r="31" spans="5:20" ht="23.1" customHeight="1">
      <c r="G31" s="5"/>
      <c r="H31" s="37">
        <v>9</v>
      </c>
      <c r="I31" s="108"/>
      <c r="J31" s="108"/>
      <c r="K31" s="108"/>
      <c r="L31" s="108"/>
      <c r="M31" s="108"/>
      <c r="N31" s="108"/>
      <c r="O31" s="46"/>
      <c r="P31" s="11"/>
      <c r="Q31" s="34"/>
      <c r="R31" s="50"/>
      <c r="S31" s="50">
        <f t="shared" si="0"/>
        <v>0</v>
      </c>
      <c r="T31" s="5"/>
    </row>
    <row r="32" spans="5:20" ht="23.1" customHeight="1">
      <c r="G32" s="5"/>
      <c r="H32" s="37">
        <v>10</v>
      </c>
      <c r="I32" s="108"/>
      <c r="J32" s="108"/>
      <c r="K32" s="108"/>
      <c r="L32" s="108"/>
      <c r="M32" s="108"/>
      <c r="N32" s="108"/>
      <c r="O32" s="46"/>
      <c r="P32" s="11"/>
      <c r="Q32" s="34"/>
      <c r="R32" s="50"/>
      <c r="S32" s="50">
        <f t="shared" si="0"/>
        <v>0</v>
      </c>
      <c r="T32" s="5"/>
    </row>
    <row r="33" spans="7:20" ht="23.1" customHeight="1">
      <c r="G33" s="5"/>
      <c r="H33" s="37">
        <v>11</v>
      </c>
      <c r="I33" s="108"/>
      <c r="J33" s="108"/>
      <c r="K33" s="108"/>
      <c r="L33" s="108"/>
      <c r="M33" s="108"/>
      <c r="N33" s="108"/>
      <c r="O33" s="46"/>
      <c r="P33" s="11"/>
      <c r="Q33" s="34"/>
      <c r="R33" s="50"/>
      <c r="S33" s="50">
        <f t="shared" si="0"/>
        <v>0</v>
      </c>
      <c r="T33" s="5"/>
    </row>
    <row r="34" spans="7:20" ht="23.1" customHeight="1">
      <c r="G34" s="5"/>
      <c r="H34" s="37">
        <v>12</v>
      </c>
      <c r="I34" s="108"/>
      <c r="J34" s="108"/>
      <c r="K34" s="108"/>
      <c r="L34" s="108"/>
      <c r="M34" s="108"/>
      <c r="N34" s="108"/>
      <c r="O34" s="46"/>
      <c r="P34" s="11"/>
      <c r="Q34" s="34"/>
      <c r="R34" s="50"/>
      <c r="S34" s="50">
        <f t="shared" si="0"/>
        <v>0</v>
      </c>
      <c r="T34" s="5"/>
    </row>
    <row r="35" spans="7:20" ht="23.1" customHeight="1">
      <c r="G35" s="5"/>
      <c r="H35" s="37">
        <v>13</v>
      </c>
      <c r="I35" s="108"/>
      <c r="J35" s="108"/>
      <c r="K35" s="108"/>
      <c r="L35" s="108"/>
      <c r="M35" s="108"/>
      <c r="N35" s="108"/>
      <c r="O35" s="46"/>
      <c r="P35" s="11"/>
      <c r="Q35" s="34"/>
      <c r="R35" s="50"/>
      <c r="S35" s="50">
        <f t="shared" si="0"/>
        <v>0</v>
      </c>
      <c r="T35" s="5"/>
    </row>
    <row r="36" spans="7:20" ht="23.1" customHeight="1">
      <c r="G36" s="5"/>
      <c r="H36" s="37">
        <v>14</v>
      </c>
      <c r="I36" s="108"/>
      <c r="J36" s="108"/>
      <c r="K36" s="108"/>
      <c r="L36" s="108"/>
      <c r="M36" s="108"/>
      <c r="N36" s="108"/>
      <c r="O36" s="46"/>
      <c r="P36" s="11"/>
      <c r="Q36" s="34"/>
      <c r="R36" s="50"/>
      <c r="S36" s="50">
        <f t="shared" si="0"/>
        <v>0</v>
      </c>
      <c r="T36" s="5"/>
    </row>
    <row r="37" spans="7:20" ht="23.1" customHeight="1">
      <c r="G37" s="5"/>
      <c r="H37" s="37">
        <v>15</v>
      </c>
      <c r="I37" s="108"/>
      <c r="J37" s="108"/>
      <c r="K37" s="108"/>
      <c r="L37" s="108"/>
      <c r="M37" s="108"/>
      <c r="N37" s="108"/>
      <c r="O37" s="46"/>
      <c r="P37" s="11"/>
      <c r="Q37" s="34"/>
      <c r="R37" s="50"/>
      <c r="S37" s="50">
        <f t="shared" si="0"/>
        <v>0</v>
      </c>
      <c r="T37" s="5"/>
    </row>
    <row r="38" spans="7:20" ht="23.1" customHeight="1">
      <c r="G38" s="5"/>
      <c r="H38" s="37">
        <v>16</v>
      </c>
      <c r="I38" s="108"/>
      <c r="J38" s="108"/>
      <c r="K38" s="108"/>
      <c r="L38" s="108"/>
      <c r="M38" s="108"/>
      <c r="N38" s="108"/>
      <c r="O38" s="46"/>
      <c r="P38" s="11"/>
      <c r="Q38" s="34"/>
      <c r="R38" s="50"/>
      <c r="S38" s="50">
        <f t="shared" si="0"/>
        <v>0</v>
      </c>
      <c r="T38" s="5"/>
    </row>
    <row r="39" spans="7:20" ht="23.1" customHeight="1">
      <c r="G39" s="5"/>
      <c r="H39" s="37">
        <v>17</v>
      </c>
      <c r="I39" s="108"/>
      <c r="J39" s="108"/>
      <c r="K39" s="108"/>
      <c r="L39" s="108"/>
      <c r="M39" s="108"/>
      <c r="N39" s="108"/>
      <c r="O39" s="46"/>
      <c r="P39" s="11"/>
      <c r="Q39" s="34"/>
      <c r="R39" s="50"/>
      <c r="S39" s="50">
        <f t="shared" si="0"/>
        <v>0</v>
      </c>
      <c r="T39" s="5"/>
    </row>
    <row r="40" spans="7:20" ht="23.1" customHeight="1">
      <c r="G40" s="5"/>
      <c r="H40" s="37">
        <v>18</v>
      </c>
      <c r="I40" s="108"/>
      <c r="J40" s="108"/>
      <c r="K40" s="108"/>
      <c r="L40" s="108"/>
      <c r="M40" s="108"/>
      <c r="N40" s="108"/>
      <c r="O40" s="46"/>
      <c r="P40" s="11"/>
      <c r="Q40" s="34"/>
      <c r="R40" s="50"/>
      <c r="S40" s="50">
        <f t="shared" si="0"/>
        <v>0</v>
      </c>
      <c r="T40" s="5"/>
    </row>
    <row r="41" spans="7:20" ht="23.1" customHeight="1">
      <c r="G41" s="28"/>
      <c r="H41" s="37">
        <v>19</v>
      </c>
      <c r="I41" s="108"/>
      <c r="J41" s="108"/>
      <c r="K41" s="108"/>
      <c r="L41" s="108"/>
      <c r="M41" s="108"/>
      <c r="N41" s="108"/>
      <c r="O41" s="46"/>
      <c r="P41" s="11"/>
      <c r="Q41" s="34"/>
      <c r="R41" s="50"/>
      <c r="S41" s="50">
        <f t="shared" si="0"/>
        <v>0</v>
      </c>
      <c r="T41" s="5"/>
    </row>
    <row r="42" spans="7:20" ht="23.1" customHeight="1">
      <c r="G42" s="28"/>
      <c r="H42" s="37">
        <v>20</v>
      </c>
      <c r="I42" s="108"/>
      <c r="J42" s="108"/>
      <c r="K42" s="108"/>
      <c r="L42" s="108"/>
      <c r="M42" s="108"/>
      <c r="N42" s="108"/>
      <c r="O42" s="46"/>
      <c r="P42" s="11"/>
      <c r="Q42" s="34"/>
      <c r="R42" s="50"/>
      <c r="S42" s="50">
        <f t="shared" si="0"/>
        <v>0</v>
      </c>
      <c r="T42" s="5"/>
    </row>
    <row r="43" spans="7:20" ht="23.1" customHeight="1">
      <c r="G43" s="28"/>
      <c r="H43" s="37">
        <v>21</v>
      </c>
      <c r="I43" s="108"/>
      <c r="J43" s="108"/>
      <c r="K43" s="108"/>
      <c r="L43" s="108"/>
      <c r="M43" s="108"/>
      <c r="N43" s="108"/>
      <c r="O43" s="46"/>
      <c r="P43" s="11"/>
      <c r="Q43" s="34"/>
      <c r="R43" s="50"/>
      <c r="S43" s="50">
        <f t="shared" si="0"/>
        <v>0</v>
      </c>
      <c r="T43" s="5"/>
    </row>
    <row r="44" spans="7:20" ht="23.1" customHeight="1">
      <c r="G44" s="28"/>
      <c r="H44" s="37">
        <v>22</v>
      </c>
      <c r="I44" s="108"/>
      <c r="J44" s="108"/>
      <c r="K44" s="108"/>
      <c r="L44" s="108"/>
      <c r="M44" s="108"/>
      <c r="N44" s="108"/>
      <c r="O44" s="46"/>
      <c r="P44" s="11"/>
      <c r="Q44" s="34"/>
      <c r="R44" s="50"/>
      <c r="S44" s="50">
        <f t="shared" si="0"/>
        <v>0</v>
      </c>
      <c r="T44" s="5"/>
    </row>
    <row r="45" spans="7:20" ht="23.1" customHeight="1">
      <c r="G45" s="28"/>
      <c r="H45" s="37">
        <v>23</v>
      </c>
      <c r="I45" s="108"/>
      <c r="J45" s="108"/>
      <c r="K45" s="108"/>
      <c r="L45" s="108"/>
      <c r="M45" s="108"/>
      <c r="N45" s="108"/>
      <c r="O45" s="46"/>
      <c r="P45" s="11"/>
      <c r="Q45" s="34"/>
      <c r="R45" s="50"/>
      <c r="S45" s="50">
        <f t="shared" si="0"/>
        <v>0</v>
      </c>
      <c r="T45" s="5"/>
    </row>
    <row r="46" spans="7:20" ht="23.1" customHeight="1">
      <c r="G46" s="5"/>
      <c r="H46" s="37">
        <v>24</v>
      </c>
      <c r="I46" s="108"/>
      <c r="J46" s="108"/>
      <c r="K46" s="108"/>
      <c r="L46" s="108"/>
      <c r="M46" s="108"/>
      <c r="N46" s="108"/>
      <c r="O46" s="46"/>
      <c r="P46" s="11"/>
      <c r="Q46" s="34"/>
      <c r="R46" s="50"/>
      <c r="S46" s="50">
        <f t="shared" si="0"/>
        <v>0</v>
      </c>
      <c r="T46" s="5"/>
    </row>
    <row r="47" spans="7:20" ht="23.1" customHeight="1">
      <c r="G47" s="5"/>
      <c r="H47" s="37">
        <v>25</v>
      </c>
      <c r="I47" s="108"/>
      <c r="J47" s="108"/>
      <c r="K47" s="108"/>
      <c r="L47" s="108"/>
      <c r="M47" s="108"/>
      <c r="N47" s="108"/>
      <c r="O47" s="46"/>
      <c r="P47" s="11"/>
      <c r="Q47" s="34"/>
      <c r="R47" s="50"/>
      <c r="S47" s="50">
        <f t="shared" si="0"/>
        <v>0</v>
      </c>
      <c r="T47" s="5"/>
    </row>
    <row r="48" spans="7:20" ht="20.399999999999999">
      <c r="G48" s="5"/>
      <c r="H48" s="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7:20" ht="20.100000000000001" customHeight="1">
      <c r="G49" s="5"/>
      <c r="H49" s="12" t="s">
        <v>34</v>
      </c>
      <c r="I49" s="28"/>
      <c r="J49" s="28"/>
      <c r="K49" s="28"/>
      <c r="L49" s="28"/>
      <c r="M49" s="28"/>
      <c r="N49" s="28"/>
      <c r="O49" s="28"/>
      <c r="P49" s="28"/>
      <c r="Q49" s="28"/>
      <c r="R49" s="12" t="s">
        <v>36</v>
      </c>
      <c r="S49" s="51">
        <f>SUM(S23:S47)</f>
        <v>0</v>
      </c>
      <c r="T49" s="28"/>
    </row>
    <row r="50" spans="7:20" ht="20.399999999999999">
      <c r="G50" s="13"/>
      <c r="H50" s="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7:20" ht="20.399999999999999">
      <c r="G51" s="5"/>
      <c r="H51" s="43" t="s">
        <v>117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7:20" ht="20.399999999999999">
      <c r="G52" s="5"/>
      <c r="H52" s="43" t="s">
        <v>118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7:20" ht="20.399999999999999">
      <c r="G53" s="26"/>
      <c r="H53" s="43"/>
      <c r="I53" s="5"/>
      <c r="J53" s="5"/>
      <c r="K53" s="5"/>
      <c r="L53" s="5"/>
      <c r="M53" s="5"/>
      <c r="N53" s="5"/>
      <c r="O53" s="5"/>
      <c r="P53" s="38"/>
      <c r="Q53" s="38"/>
      <c r="R53" s="38"/>
      <c r="S53" s="38"/>
      <c r="T53" s="38"/>
    </row>
    <row r="54" spans="7:20" ht="20.399999999999999">
      <c r="G54" s="26"/>
      <c r="H54" s="4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7:20" ht="20.399999999999999"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7:20" ht="19.8"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7:20" ht="19.8">
      <c r="G57" s="16"/>
      <c r="H57" s="44"/>
      <c r="I57" s="44"/>
      <c r="J57" s="44"/>
      <c r="K57" s="44"/>
      <c r="L57" s="44"/>
      <c r="M57" s="44"/>
      <c r="N57" s="17"/>
      <c r="O57" s="44"/>
      <c r="P57" s="44"/>
      <c r="Q57" s="44"/>
      <c r="R57" s="44"/>
      <c r="S57" s="44"/>
      <c r="T57" s="44"/>
    </row>
    <row r="58" spans="7:20" ht="19.8">
      <c r="G58" s="16"/>
      <c r="H58" s="17"/>
      <c r="I58" s="17"/>
      <c r="J58" s="17"/>
      <c r="K58" s="17"/>
      <c r="L58" s="17"/>
      <c r="M58" s="17"/>
      <c r="N58" s="17"/>
      <c r="O58" s="30"/>
      <c r="P58" s="95" t="s">
        <v>69</v>
      </c>
      <c r="Q58" s="17"/>
      <c r="R58" s="17"/>
      <c r="S58" s="17"/>
      <c r="T58" s="17"/>
    </row>
    <row r="59" spans="7:20" ht="19.8">
      <c r="G59" s="16"/>
      <c r="H59" s="31"/>
      <c r="I59" s="47"/>
      <c r="J59" s="47"/>
      <c r="K59" s="47"/>
      <c r="L59" s="47"/>
      <c r="M59" s="47"/>
      <c r="N59" s="17"/>
      <c r="O59" s="30"/>
      <c r="P59" s="31" t="s">
        <v>43</v>
      </c>
      <c r="Q59" s="31"/>
      <c r="R59" s="31"/>
      <c r="S59" s="31"/>
      <c r="T59" s="31"/>
    </row>
    <row r="60" spans="7:20" ht="19.8">
      <c r="G60" s="16"/>
      <c r="H60" s="17"/>
      <c r="I60" s="17"/>
      <c r="J60" s="17"/>
      <c r="K60" s="17"/>
      <c r="L60" s="17"/>
      <c r="M60" s="17"/>
      <c r="N60" s="17"/>
      <c r="O60" s="119"/>
      <c r="P60" s="119"/>
      <c r="Q60" s="119"/>
      <c r="R60" s="119"/>
      <c r="S60" s="119"/>
      <c r="T60" s="119"/>
    </row>
    <row r="61" spans="7:20" ht="19.2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</sheetData>
  <mergeCells count="42">
    <mergeCell ref="O60:T60"/>
    <mergeCell ref="I43:N43"/>
    <mergeCell ref="I44:N44"/>
    <mergeCell ref="I45:N45"/>
    <mergeCell ref="I46:N46"/>
    <mergeCell ref="I47:N47"/>
    <mergeCell ref="I38:N38"/>
    <mergeCell ref="I39:N39"/>
    <mergeCell ref="I40:N40"/>
    <mergeCell ref="I41:N41"/>
    <mergeCell ref="I42:N42"/>
    <mergeCell ref="I33:N33"/>
    <mergeCell ref="I34:N34"/>
    <mergeCell ref="I35:N35"/>
    <mergeCell ref="I36:N36"/>
    <mergeCell ref="I37:N37"/>
    <mergeCell ref="I28:N28"/>
    <mergeCell ref="I29:N29"/>
    <mergeCell ref="I30:N30"/>
    <mergeCell ref="I31:N31"/>
    <mergeCell ref="I32:N32"/>
    <mergeCell ref="I23:N23"/>
    <mergeCell ref="I24:N24"/>
    <mergeCell ref="I25:N25"/>
    <mergeCell ref="I26:N26"/>
    <mergeCell ref="I27:N27"/>
    <mergeCell ref="H12:M12"/>
    <mergeCell ref="Q12:R12"/>
    <mergeCell ref="H13:M13"/>
    <mergeCell ref="Q14:R14"/>
    <mergeCell ref="L15:M15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2">
    <dataValidation allowBlank="1" showInputMessage="1" sqref="H10:M10" xr:uid="{00000000-0002-0000-0800-000000000000}"/>
    <dataValidation allowBlank="1" showInputMessage="1" showErrorMessage="1" sqref="I23:J47" xr:uid="{00000000-0002-0000-0800-000001000000}"/>
  </dataValidations>
  <hyperlinks>
    <hyperlink ref="P6" r:id="rId1" xr:uid="{00000000-0004-0000-08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E1:T36"/>
  <sheetViews>
    <sheetView zoomScale="60" zoomScaleNormal="60" workbookViewId="0">
      <selection activeCell="H10" sqref="H10:M10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119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39"/>
      <c r="H8" s="39"/>
      <c r="I8" s="39"/>
      <c r="J8" s="39"/>
      <c r="K8" s="39"/>
      <c r="L8" s="39"/>
      <c r="M8" s="39"/>
      <c r="N8" s="39"/>
      <c r="O8" s="39"/>
      <c r="P8" s="39" t="s">
        <v>120</v>
      </c>
      <c r="Q8" s="39"/>
      <c r="R8" s="39"/>
      <c r="S8" s="39"/>
      <c r="T8" s="39"/>
    </row>
    <row r="9" spans="5:20" ht="11.25" customHeight="1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IFERROR(MATCH(H10,Cust_ddown,0)+4,"")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41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</v>
      </c>
      <c r="Q12" s="6"/>
      <c r="R12" s="5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16</v>
      </c>
      <c r="Q13" s="6" t="s">
        <v>17</v>
      </c>
      <c r="R13" s="5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7"/>
      <c r="Q14" s="6"/>
      <c r="R14" s="27"/>
      <c r="S14" s="5"/>
      <c r="T14" s="5"/>
    </row>
    <row r="15" spans="5:20" ht="20.399999999999999">
      <c r="G15" s="5"/>
      <c r="H15" s="5" t="s">
        <v>18</v>
      </c>
      <c r="I15" s="5"/>
      <c r="J15" s="5"/>
      <c r="K15" s="27" t="s">
        <v>20</v>
      </c>
      <c r="L15" s="106"/>
      <c r="M15" s="106"/>
      <c r="N15" s="11"/>
      <c r="O15" s="5"/>
      <c r="P15" s="5"/>
      <c r="Q15" s="5"/>
      <c r="R15" s="5"/>
      <c r="S15" s="5"/>
      <c r="T15" s="5"/>
    </row>
    <row r="16" spans="5:20" ht="25.5" customHeight="1">
      <c r="G16" s="5"/>
      <c r="H16" s="5" t="s">
        <v>77</v>
      </c>
      <c r="I16" s="5"/>
      <c r="J16" s="5"/>
      <c r="K16" s="5"/>
      <c r="L16" s="5"/>
      <c r="M16" s="5"/>
      <c r="N16" s="11"/>
      <c r="O16" s="5"/>
      <c r="P16" s="5"/>
      <c r="Q16" s="5"/>
      <c r="R16" s="5"/>
      <c r="S16" s="5"/>
      <c r="T16" s="5"/>
    </row>
    <row r="17" spans="5:20" ht="20.399999999999999">
      <c r="G17" s="5"/>
      <c r="H17" s="5"/>
      <c r="I17" s="5"/>
      <c r="J17" s="5"/>
      <c r="K17" s="6"/>
      <c r="L17" s="6"/>
      <c r="M17" s="6"/>
      <c r="N17" s="6"/>
      <c r="O17" s="5"/>
      <c r="P17" s="5"/>
      <c r="Q17" s="5"/>
      <c r="R17" s="5"/>
      <c r="S17" s="5"/>
      <c r="T17" s="5"/>
    </row>
    <row r="18" spans="5:20" ht="20.399999999999999">
      <c r="G18" s="5"/>
      <c r="H18" s="10"/>
      <c r="I18" s="6" t="s">
        <v>22</v>
      </c>
      <c r="J18" s="6"/>
      <c r="K18" s="6"/>
      <c r="L18" s="6"/>
      <c r="M18" s="6"/>
      <c r="N18" s="37" t="s">
        <v>23</v>
      </c>
      <c r="O18" s="140" t="s">
        <v>25</v>
      </c>
      <c r="P18" s="140"/>
      <c r="Q18" s="10" t="s">
        <v>26</v>
      </c>
      <c r="R18" s="140" t="s">
        <v>63</v>
      </c>
      <c r="S18" s="140"/>
      <c r="T18" s="5"/>
    </row>
    <row r="19" spans="5:20" ht="20.399999999999999">
      <c r="G19" s="5"/>
      <c r="H19" s="10"/>
      <c r="I19" s="5"/>
      <c r="J19" s="5"/>
      <c r="K19" s="6"/>
      <c r="L19" s="6"/>
      <c r="M19" s="6"/>
      <c r="N19" s="6"/>
      <c r="O19" s="6"/>
      <c r="P19" s="27"/>
      <c r="Q19" s="27"/>
      <c r="R19" s="5"/>
      <c r="S19" s="5"/>
      <c r="T19" s="5"/>
    </row>
    <row r="20" spans="5:20" ht="23.1" customHeight="1">
      <c r="E20" s="7"/>
      <c r="F20" s="8" t="str">
        <f>IFERROR(MATCH(I20,Prod_ddown,0)+4,"")</f>
        <v/>
      </c>
      <c r="G20" s="11"/>
      <c r="H20" s="108"/>
      <c r="I20" s="108"/>
      <c r="J20" s="108"/>
      <c r="K20" s="108"/>
      <c r="L20" s="108"/>
      <c r="M20" s="108"/>
      <c r="N20" s="37"/>
      <c r="O20" s="142"/>
      <c r="P20" s="142"/>
      <c r="Q20" s="41"/>
      <c r="R20" s="143"/>
      <c r="S20" s="143"/>
      <c r="T20" s="28"/>
    </row>
    <row r="21" spans="5:20" ht="23.1" customHeight="1">
      <c r="E21" s="7"/>
      <c r="F21" s="8"/>
      <c r="G21" s="11"/>
      <c r="H21" s="108"/>
      <c r="I21" s="108"/>
      <c r="J21" s="108"/>
      <c r="K21" s="108"/>
      <c r="L21" s="108"/>
      <c r="M21" s="108"/>
      <c r="N21" s="37"/>
      <c r="O21" s="142"/>
      <c r="P21" s="142"/>
      <c r="Q21" s="41"/>
      <c r="R21" s="143"/>
      <c r="S21" s="143"/>
      <c r="T21" s="28"/>
    </row>
    <row r="22" spans="5:20" ht="23.1" customHeight="1">
      <c r="E22" s="7"/>
      <c r="F22" s="8"/>
      <c r="G22" s="11"/>
      <c r="H22" s="108"/>
      <c r="I22" s="108"/>
      <c r="J22" s="108"/>
      <c r="K22" s="108"/>
      <c r="L22" s="108"/>
      <c r="M22" s="108"/>
      <c r="N22" s="37"/>
      <c r="O22" s="142"/>
      <c r="P22" s="142"/>
      <c r="Q22" s="41"/>
      <c r="R22" s="143"/>
      <c r="S22" s="143"/>
      <c r="T22" s="28"/>
    </row>
    <row r="23" spans="5:20" ht="23.1" customHeight="1">
      <c r="E23" s="7"/>
      <c r="F23" s="8"/>
      <c r="G23" s="11"/>
      <c r="H23" s="108"/>
      <c r="I23" s="108"/>
      <c r="J23" s="108"/>
      <c r="K23" s="108"/>
      <c r="L23" s="108"/>
      <c r="M23" s="108"/>
      <c r="N23" s="37"/>
      <c r="O23" s="142"/>
      <c r="P23" s="142"/>
      <c r="Q23" s="41"/>
      <c r="R23" s="143"/>
      <c r="S23" s="143"/>
      <c r="T23" s="28"/>
    </row>
    <row r="24" spans="5:20" ht="23.1" customHeight="1">
      <c r="F24" s="8" t="str">
        <f>IFERROR(MATCH(I24,Prod_ddown,0)+4,"")</f>
        <v/>
      </c>
      <c r="G24" s="11"/>
      <c r="H24" s="108"/>
      <c r="I24" s="108"/>
      <c r="J24" s="108"/>
      <c r="K24" s="108"/>
      <c r="L24" s="108"/>
      <c r="M24" s="108"/>
      <c r="N24" s="37"/>
      <c r="O24" s="142"/>
      <c r="P24" s="142"/>
      <c r="Q24" s="41"/>
      <c r="R24" s="143"/>
      <c r="S24" s="143"/>
      <c r="T24" s="28"/>
    </row>
    <row r="25" spans="5:20" ht="23.1" customHeight="1">
      <c r="G25" s="11"/>
      <c r="H25" s="108"/>
      <c r="I25" s="108"/>
      <c r="J25" s="108"/>
      <c r="K25" s="108"/>
      <c r="L25" s="108"/>
      <c r="M25" s="108"/>
      <c r="N25" s="37"/>
      <c r="O25" s="142"/>
      <c r="P25" s="142"/>
      <c r="Q25" s="41"/>
      <c r="R25" s="143"/>
      <c r="S25" s="143"/>
      <c r="T25" s="28"/>
    </row>
    <row r="26" spans="5:20" ht="23.1" customHeight="1">
      <c r="G26" s="11"/>
      <c r="H26" s="108"/>
      <c r="I26" s="108"/>
      <c r="J26" s="108"/>
      <c r="K26" s="108"/>
      <c r="L26" s="108"/>
      <c r="M26" s="108"/>
      <c r="N26" s="37"/>
      <c r="O26" s="142"/>
      <c r="P26" s="142"/>
      <c r="Q26" s="41"/>
      <c r="R26" s="143"/>
      <c r="S26" s="143"/>
      <c r="T26" s="28"/>
    </row>
    <row r="27" spans="5:20" ht="20.399999999999999">
      <c r="G27" s="5"/>
      <c r="H27" s="5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5:20" ht="19.5" customHeight="1">
      <c r="G28" s="5"/>
      <c r="H28" s="12" t="s">
        <v>34</v>
      </c>
      <c r="I28" s="28"/>
      <c r="J28" s="28"/>
      <c r="K28" s="28"/>
      <c r="L28" s="28"/>
      <c r="M28" s="28"/>
      <c r="N28" s="28"/>
      <c r="O28" s="28"/>
      <c r="P28" s="28"/>
      <c r="Q28" s="12" t="s">
        <v>36</v>
      </c>
      <c r="R28" s="144">
        <f>SUM(R20:S27)</f>
        <v>0</v>
      </c>
      <c r="S28" s="145"/>
      <c r="T28" s="28"/>
    </row>
    <row r="29" spans="5:20" ht="20.399999999999999">
      <c r="G29" s="13"/>
      <c r="H29" s="5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5:20" ht="19.8">
      <c r="G30" s="4"/>
      <c r="H30" s="14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5:20" ht="19.8">
      <c r="G31" s="4"/>
      <c r="H31" s="1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5:20" ht="19.8">
      <c r="G32" s="4"/>
      <c r="H32" s="15"/>
      <c r="I32" s="17"/>
      <c r="J32" s="17"/>
      <c r="K32" s="17"/>
      <c r="L32" s="17"/>
      <c r="M32" s="17"/>
      <c r="N32" s="17"/>
      <c r="O32" s="17"/>
      <c r="P32" s="30"/>
      <c r="Q32" s="17"/>
      <c r="R32" s="17"/>
      <c r="S32" s="17"/>
      <c r="T32" s="17"/>
    </row>
    <row r="33" spans="7:20" ht="19.8">
      <c r="G33" s="16"/>
      <c r="H33" s="15"/>
      <c r="I33" s="17"/>
      <c r="J33" s="17"/>
      <c r="K33" s="17"/>
      <c r="L33" s="17"/>
      <c r="M33" s="17"/>
      <c r="N33" s="17"/>
      <c r="O33" s="17"/>
      <c r="P33" s="95" t="s">
        <v>121</v>
      </c>
      <c r="Q33" s="17"/>
      <c r="R33" s="14"/>
      <c r="S33" s="14"/>
      <c r="T33" s="14"/>
    </row>
    <row r="34" spans="7:20" ht="19.8">
      <c r="G34" s="16"/>
      <c r="H34" s="15"/>
      <c r="I34" s="17"/>
      <c r="J34" s="17"/>
      <c r="K34" s="17"/>
      <c r="L34" s="17"/>
      <c r="M34" s="31"/>
      <c r="N34" s="31"/>
      <c r="O34" s="31"/>
      <c r="P34" s="31" t="s">
        <v>43</v>
      </c>
      <c r="Q34" s="31"/>
      <c r="R34" s="17"/>
      <c r="S34" s="17"/>
      <c r="T34" s="17"/>
    </row>
    <row r="35" spans="7:20" ht="19.8"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7:20" ht="19.2"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</sheetData>
  <mergeCells count="38">
    <mergeCell ref="H26:M26"/>
    <mergeCell ref="O26:P26"/>
    <mergeCell ref="R26:S26"/>
    <mergeCell ref="R28:S28"/>
    <mergeCell ref="H24:M24"/>
    <mergeCell ref="O24:P24"/>
    <mergeCell ref="R24:S24"/>
    <mergeCell ref="H25:M25"/>
    <mergeCell ref="O25:P25"/>
    <mergeCell ref="R25:S25"/>
    <mergeCell ref="H22:M22"/>
    <mergeCell ref="O22:P22"/>
    <mergeCell ref="R22:S22"/>
    <mergeCell ref="H23:M23"/>
    <mergeCell ref="O23:P23"/>
    <mergeCell ref="R23:S23"/>
    <mergeCell ref="H20:M20"/>
    <mergeCell ref="O20:P20"/>
    <mergeCell ref="R20:S20"/>
    <mergeCell ref="H21:M21"/>
    <mergeCell ref="O21:P21"/>
    <mergeCell ref="R21:S21"/>
    <mergeCell ref="H12:M12"/>
    <mergeCell ref="H13:M13"/>
    <mergeCell ref="L15:M15"/>
    <mergeCell ref="O18:P18"/>
    <mergeCell ref="R18:S18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1">
    <dataValidation allowBlank="1" showInputMessage="1" sqref="H10:M10" xr:uid="{00000000-0002-0000-0900-000000000000}"/>
  </dataValidations>
  <hyperlinks>
    <hyperlink ref="P6" r:id="rId1" xr:uid="{00000000-0004-0000-09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E1:T36"/>
  <sheetViews>
    <sheetView zoomScale="60" zoomScaleNormal="60" workbookViewId="0">
      <selection activeCell="H10" sqref="H10:M10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122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39"/>
      <c r="H8" s="39"/>
      <c r="I8" s="39"/>
      <c r="J8" s="39"/>
      <c r="K8" s="39"/>
      <c r="L8" s="39"/>
      <c r="M8" s="39"/>
      <c r="N8" s="39"/>
      <c r="O8" s="39"/>
      <c r="P8" s="39" t="s">
        <v>123</v>
      </c>
      <c r="Q8" s="39"/>
      <c r="R8" s="39"/>
      <c r="S8" s="39"/>
      <c r="T8" s="39"/>
    </row>
    <row r="9" spans="5:20" ht="11.25" customHeight="1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IFERROR(MATCH(H10,Cust_ddown,0)+4,"")</f>
        <v/>
      </c>
      <c r="G10" s="5"/>
      <c r="H10" s="102" t="s">
        <v>98</v>
      </c>
      <c r="I10" s="102"/>
      <c r="J10" s="102"/>
      <c r="K10" s="102"/>
      <c r="L10" s="102"/>
      <c r="M10" s="102"/>
      <c r="N10" s="5"/>
      <c r="O10" s="26"/>
      <c r="P10" s="27" t="s">
        <v>7</v>
      </c>
      <c r="Q10" s="141"/>
      <c r="R10" s="102"/>
      <c r="S10" s="5"/>
      <c r="T10" s="5"/>
    </row>
    <row r="11" spans="5:20" ht="20.399999999999999">
      <c r="G11" s="5"/>
      <c r="H11" s="106"/>
      <c r="I11" s="106"/>
      <c r="J11" s="106"/>
      <c r="K11" s="106"/>
      <c r="L11" s="106"/>
      <c r="M11" s="106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</v>
      </c>
      <c r="Q12" s="6"/>
      <c r="R12" s="5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16</v>
      </c>
      <c r="Q13" s="6" t="s">
        <v>17</v>
      </c>
      <c r="R13" s="5"/>
      <c r="S13" s="5"/>
      <c r="T13" s="5"/>
    </row>
    <row r="14" spans="5:20" ht="20.399999999999999">
      <c r="G14" s="5"/>
      <c r="H14" s="6" t="s">
        <v>14</v>
      </c>
      <c r="I14" s="5"/>
      <c r="J14" s="5"/>
      <c r="K14" s="5"/>
      <c r="L14" s="5"/>
      <c r="M14" s="5"/>
      <c r="N14" s="5"/>
      <c r="O14" s="26"/>
      <c r="P14" s="27"/>
      <c r="Q14" s="6"/>
      <c r="R14" s="27"/>
      <c r="S14" s="5"/>
      <c r="T14" s="5"/>
    </row>
    <row r="15" spans="5:20" ht="20.399999999999999">
      <c r="G15" s="5"/>
      <c r="H15" s="5" t="s">
        <v>18</v>
      </c>
      <c r="I15" s="5"/>
      <c r="J15" s="5"/>
      <c r="K15" s="27" t="s">
        <v>20</v>
      </c>
      <c r="L15" s="106"/>
      <c r="M15" s="106"/>
      <c r="N15" s="11"/>
      <c r="O15" s="5"/>
      <c r="P15" s="5"/>
      <c r="Q15" s="5"/>
      <c r="R15" s="5"/>
      <c r="S15" s="5"/>
      <c r="T15" s="5"/>
    </row>
    <row r="16" spans="5:20" ht="25.5" customHeight="1">
      <c r="G16" s="5"/>
      <c r="H16" s="5" t="s">
        <v>77</v>
      </c>
      <c r="I16" s="5"/>
      <c r="J16" s="5"/>
      <c r="K16" s="5"/>
      <c r="L16" s="5"/>
      <c r="M16" s="5"/>
      <c r="N16" s="11"/>
      <c r="O16" s="5"/>
      <c r="P16" s="5"/>
      <c r="Q16" s="5"/>
      <c r="R16" s="5"/>
      <c r="S16" s="5"/>
      <c r="T16" s="5"/>
    </row>
    <row r="17" spans="5:20" ht="20.399999999999999">
      <c r="G17" s="5"/>
      <c r="H17" s="5"/>
      <c r="I17" s="5"/>
      <c r="J17" s="5"/>
      <c r="K17" s="6"/>
      <c r="L17" s="6"/>
      <c r="M17" s="6"/>
      <c r="N17" s="6"/>
      <c r="O17" s="5"/>
      <c r="P17" s="5"/>
      <c r="Q17" s="5"/>
      <c r="R17" s="5"/>
      <c r="S17" s="5"/>
      <c r="T17" s="5"/>
    </row>
    <row r="18" spans="5:20" ht="20.399999999999999">
      <c r="G18" s="5"/>
      <c r="H18" s="10"/>
      <c r="I18" s="6" t="s">
        <v>22</v>
      </c>
      <c r="J18" s="6"/>
      <c r="K18" s="6"/>
      <c r="L18" s="6"/>
      <c r="M18" s="6"/>
      <c r="N18" s="37"/>
      <c r="O18" s="140" t="s">
        <v>23</v>
      </c>
      <c r="P18" s="140"/>
      <c r="Q18" s="10" t="s">
        <v>25</v>
      </c>
      <c r="R18" s="140" t="s">
        <v>63</v>
      </c>
      <c r="S18" s="140"/>
      <c r="T18" s="5"/>
    </row>
    <row r="19" spans="5:20" ht="20.399999999999999">
      <c r="G19" s="5"/>
      <c r="H19" s="10"/>
      <c r="I19" s="5"/>
      <c r="J19" s="5"/>
      <c r="K19" s="6"/>
      <c r="L19" s="6"/>
      <c r="M19" s="6"/>
      <c r="N19" s="6"/>
      <c r="O19" s="6"/>
      <c r="P19" s="27"/>
      <c r="Q19" s="27"/>
      <c r="R19" s="5"/>
      <c r="S19" s="5"/>
      <c r="T19" s="5"/>
    </row>
    <row r="20" spans="5:20" ht="23.1" customHeight="1">
      <c r="E20" s="7"/>
      <c r="F20" s="8" t="str">
        <f>IFERROR(MATCH(I20,Prod_ddown,0)+4,"")</f>
        <v/>
      </c>
      <c r="G20" s="11"/>
      <c r="H20" s="108"/>
      <c r="I20" s="108"/>
      <c r="J20" s="108"/>
      <c r="K20" s="108"/>
      <c r="L20" s="108"/>
      <c r="M20" s="108"/>
      <c r="N20" s="108"/>
      <c r="O20" s="146"/>
      <c r="P20" s="146"/>
      <c r="Q20" s="40"/>
      <c r="R20" s="143"/>
      <c r="S20" s="143"/>
      <c r="T20" s="28"/>
    </row>
    <row r="21" spans="5:20" ht="23.1" customHeight="1">
      <c r="E21" s="7"/>
      <c r="F21" s="8"/>
      <c r="G21" s="11"/>
      <c r="H21" s="108"/>
      <c r="I21" s="108"/>
      <c r="J21" s="108"/>
      <c r="K21" s="108"/>
      <c r="L21" s="108"/>
      <c r="M21" s="108"/>
      <c r="N21" s="108"/>
      <c r="O21" s="146"/>
      <c r="P21" s="146"/>
      <c r="Q21" s="40"/>
      <c r="R21" s="143"/>
      <c r="S21" s="143"/>
      <c r="T21" s="28"/>
    </row>
    <row r="22" spans="5:20" ht="23.1" customHeight="1">
      <c r="E22" s="7"/>
      <c r="F22" s="8"/>
      <c r="G22" s="11"/>
      <c r="H22" s="108"/>
      <c r="I22" s="108"/>
      <c r="J22" s="108"/>
      <c r="K22" s="108"/>
      <c r="L22" s="108"/>
      <c r="M22" s="108"/>
      <c r="N22" s="108"/>
      <c r="O22" s="146"/>
      <c r="P22" s="146"/>
      <c r="Q22" s="40"/>
      <c r="R22" s="143"/>
      <c r="S22" s="143"/>
      <c r="T22" s="28"/>
    </row>
    <row r="23" spans="5:20" ht="23.1" customHeight="1">
      <c r="E23" s="7"/>
      <c r="F23" s="8"/>
      <c r="G23" s="11"/>
      <c r="H23" s="108"/>
      <c r="I23" s="108"/>
      <c r="J23" s="108"/>
      <c r="K23" s="108"/>
      <c r="L23" s="108"/>
      <c r="M23" s="108"/>
      <c r="N23" s="108"/>
      <c r="O23" s="146"/>
      <c r="P23" s="146"/>
      <c r="Q23" s="40"/>
      <c r="R23" s="143"/>
      <c r="S23" s="143"/>
      <c r="T23" s="28"/>
    </row>
    <row r="24" spans="5:20" ht="23.1" customHeight="1">
      <c r="F24" s="8" t="str">
        <f>IFERROR(MATCH(I24,Prod_ddown,0)+4,"")</f>
        <v/>
      </c>
      <c r="G24" s="11"/>
      <c r="H24" s="108"/>
      <c r="I24" s="108"/>
      <c r="J24" s="108"/>
      <c r="K24" s="108"/>
      <c r="L24" s="108"/>
      <c r="M24" s="108"/>
      <c r="N24" s="108"/>
      <c r="O24" s="146"/>
      <c r="P24" s="146"/>
      <c r="Q24" s="40"/>
      <c r="R24" s="143"/>
      <c r="S24" s="143"/>
      <c r="T24" s="28"/>
    </row>
    <row r="25" spans="5:20" ht="23.1" customHeight="1">
      <c r="G25" s="11"/>
      <c r="H25" s="108"/>
      <c r="I25" s="108"/>
      <c r="J25" s="108"/>
      <c r="K25" s="108"/>
      <c r="L25" s="108"/>
      <c r="M25" s="108"/>
      <c r="N25" s="108"/>
      <c r="O25" s="146"/>
      <c r="P25" s="146"/>
      <c r="Q25" s="40"/>
      <c r="R25" s="143"/>
      <c r="S25" s="143"/>
      <c r="T25" s="28"/>
    </row>
    <row r="26" spans="5:20" ht="23.1" customHeight="1">
      <c r="G26" s="11"/>
      <c r="H26" s="108"/>
      <c r="I26" s="108"/>
      <c r="J26" s="108"/>
      <c r="K26" s="108"/>
      <c r="L26" s="108"/>
      <c r="M26" s="108"/>
      <c r="N26" s="108"/>
      <c r="O26" s="146"/>
      <c r="P26" s="146"/>
      <c r="Q26" s="40"/>
      <c r="R26" s="143"/>
      <c r="S26" s="143"/>
      <c r="T26" s="28"/>
    </row>
    <row r="27" spans="5:20" ht="20.399999999999999">
      <c r="G27" s="5"/>
      <c r="H27" s="5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5:20" ht="19.5" customHeight="1">
      <c r="G28" s="5"/>
      <c r="H28" s="12" t="s">
        <v>34</v>
      </c>
      <c r="I28" s="28"/>
      <c r="J28" s="28"/>
      <c r="K28" s="28"/>
      <c r="L28" s="28"/>
      <c r="M28" s="28"/>
      <c r="N28" s="28"/>
      <c r="O28" s="28"/>
      <c r="P28" s="28"/>
      <c r="Q28" s="12" t="s">
        <v>36</v>
      </c>
      <c r="R28" s="144">
        <f>SUM(R20:S27)</f>
        <v>0</v>
      </c>
      <c r="S28" s="145"/>
      <c r="T28" s="28"/>
    </row>
    <row r="29" spans="5:20" ht="20.399999999999999">
      <c r="G29" s="13"/>
      <c r="H29" s="5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5:20" ht="19.8">
      <c r="G30" s="4"/>
      <c r="H30" s="14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5:20" ht="19.8">
      <c r="G31" s="4"/>
      <c r="H31" s="1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5:20" ht="19.8">
      <c r="G32" s="4"/>
      <c r="H32" s="15"/>
      <c r="I32" s="17"/>
      <c r="J32" s="17"/>
      <c r="K32" s="17"/>
      <c r="L32" s="17"/>
      <c r="M32" s="17"/>
      <c r="N32" s="17"/>
      <c r="O32" s="17"/>
      <c r="P32" s="30"/>
      <c r="Q32" s="17"/>
      <c r="R32" s="17"/>
      <c r="S32" s="17"/>
      <c r="T32" s="17"/>
    </row>
    <row r="33" spans="7:20" ht="19.8">
      <c r="G33" s="16"/>
      <c r="H33" s="15"/>
      <c r="I33" s="17"/>
      <c r="J33" s="17"/>
      <c r="K33" s="17"/>
      <c r="L33" s="17"/>
      <c r="M33" s="17"/>
      <c r="N33" s="17"/>
      <c r="O33" s="17"/>
      <c r="P33" s="95" t="s">
        <v>121</v>
      </c>
      <c r="Q33" s="17"/>
      <c r="R33" s="14"/>
      <c r="S33" s="14"/>
      <c r="T33" s="14"/>
    </row>
    <row r="34" spans="7:20" ht="19.8">
      <c r="G34" s="16"/>
      <c r="H34" s="15"/>
      <c r="I34" s="17"/>
      <c r="J34" s="17"/>
      <c r="K34" s="17"/>
      <c r="L34" s="17"/>
      <c r="M34" s="31"/>
      <c r="N34" s="31"/>
      <c r="O34" s="31"/>
      <c r="P34" s="31" t="s">
        <v>43</v>
      </c>
      <c r="Q34" s="31"/>
      <c r="R34" s="17"/>
      <c r="S34" s="17"/>
      <c r="T34" s="17"/>
    </row>
    <row r="35" spans="7:20" ht="19.8"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7:20" ht="19.2"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</sheetData>
  <mergeCells count="38">
    <mergeCell ref="H26:N26"/>
    <mergeCell ref="O26:P26"/>
    <mergeCell ref="R26:S26"/>
    <mergeCell ref="R28:S28"/>
    <mergeCell ref="H24:N24"/>
    <mergeCell ref="O24:P24"/>
    <mergeCell ref="R24:S24"/>
    <mergeCell ref="H25:N25"/>
    <mergeCell ref="O25:P25"/>
    <mergeCell ref="R25:S25"/>
    <mergeCell ref="H22:N22"/>
    <mergeCell ref="O22:P22"/>
    <mergeCell ref="R22:S22"/>
    <mergeCell ref="H23:N23"/>
    <mergeCell ref="O23:P23"/>
    <mergeCell ref="R23:S23"/>
    <mergeCell ref="H20:N20"/>
    <mergeCell ref="O20:P20"/>
    <mergeCell ref="R20:S20"/>
    <mergeCell ref="H21:N21"/>
    <mergeCell ref="O21:P21"/>
    <mergeCell ref="R21:S21"/>
    <mergeCell ref="H12:M12"/>
    <mergeCell ref="H13:M13"/>
    <mergeCell ref="L15:M15"/>
    <mergeCell ref="O18:P18"/>
    <mergeCell ref="R18:S18"/>
    <mergeCell ref="G5:T5"/>
    <mergeCell ref="M6:N6"/>
    <mergeCell ref="H10:M10"/>
    <mergeCell ref="Q10:R10"/>
    <mergeCell ref="H11:M11"/>
    <mergeCell ref="Q11:R11"/>
    <mergeCell ref="G1:T1"/>
    <mergeCell ref="G2:T2"/>
    <mergeCell ref="K3:M3"/>
    <mergeCell ref="N3:O3"/>
    <mergeCell ref="G4:T4"/>
  </mergeCells>
  <dataValidations count="1">
    <dataValidation allowBlank="1" showInputMessage="1" sqref="H10:M10" xr:uid="{00000000-0002-0000-0A00-000000000000}"/>
  </dataValidations>
  <hyperlinks>
    <hyperlink ref="P6" r:id="rId1" xr:uid="{00000000-0004-0000-0A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E1:T35"/>
  <sheetViews>
    <sheetView zoomScale="60" zoomScaleNormal="60" workbookViewId="0">
      <selection activeCell="J24" sqref="J24:N24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124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147" t="s">
        <v>4</v>
      </c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IFERROR(MATCH(H11,Cust_ddown,0)+4,"")</f>
        <v/>
      </c>
      <c r="G10" s="5"/>
      <c r="H10" s="148" t="s">
        <v>125</v>
      </c>
      <c r="I10" s="148"/>
      <c r="J10" s="148"/>
      <c r="K10" s="148"/>
      <c r="L10" s="148"/>
      <c r="M10" s="148"/>
      <c r="N10" s="5"/>
      <c r="O10" s="26"/>
      <c r="P10" s="27" t="s">
        <v>7</v>
      </c>
      <c r="Q10" s="141"/>
      <c r="R10" s="102"/>
      <c r="S10" s="5"/>
      <c r="T10" s="5"/>
    </row>
    <row r="11" spans="5:20" ht="20.399999999999999">
      <c r="G11" s="5"/>
      <c r="H11" s="102"/>
      <c r="I11" s="102"/>
      <c r="J11" s="102"/>
      <c r="K11" s="102"/>
      <c r="L11" s="102"/>
      <c r="M11" s="102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126</v>
      </c>
      <c r="Q12" s="106"/>
      <c r="R12" s="106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127</v>
      </c>
      <c r="Q13" s="106"/>
      <c r="R13" s="106"/>
      <c r="S13" s="5"/>
      <c r="T13" s="5"/>
    </row>
    <row r="14" spans="5:20" ht="20.399999999999999">
      <c r="G14" s="5"/>
      <c r="H14" s="106"/>
      <c r="I14" s="106"/>
      <c r="J14" s="106"/>
      <c r="K14" s="106"/>
      <c r="L14" s="106"/>
      <c r="M14" s="106"/>
      <c r="N14" s="5"/>
      <c r="O14" s="26"/>
      <c r="P14" s="27" t="s">
        <v>16</v>
      </c>
      <c r="Q14" s="6" t="s">
        <v>17</v>
      </c>
      <c r="R14" s="27"/>
      <c r="S14" s="5"/>
      <c r="T14" s="5"/>
    </row>
    <row r="15" spans="5:20" ht="20.399999999999999">
      <c r="G15" s="5"/>
      <c r="H15" s="5"/>
      <c r="I15" s="5"/>
      <c r="J15" s="5"/>
      <c r="K15" s="6"/>
      <c r="L15" s="6"/>
      <c r="M15" s="6"/>
      <c r="N15" s="11"/>
      <c r="O15" s="5"/>
      <c r="P15" s="5"/>
      <c r="Q15" s="5"/>
      <c r="R15" s="5"/>
      <c r="S15" s="5"/>
      <c r="T15" s="5"/>
    </row>
    <row r="16" spans="5:20" ht="20.399999999999999">
      <c r="G16" s="5"/>
      <c r="H16" s="6"/>
      <c r="I16" s="5"/>
      <c r="J16" s="5"/>
      <c r="K16" s="6"/>
      <c r="L16" s="6"/>
      <c r="M16" s="6"/>
      <c r="N16" s="6"/>
      <c r="O16" s="5"/>
      <c r="P16" s="5"/>
      <c r="Q16" s="5"/>
      <c r="R16" s="5"/>
      <c r="S16" s="5"/>
      <c r="T16" s="5"/>
    </row>
    <row r="17" spans="5:20" ht="20.399999999999999">
      <c r="G17" s="5"/>
      <c r="H17" s="6" t="s">
        <v>22</v>
      </c>
      <c r="I17" s="6"/>
      <c r="J17" s="6"/>
      <c r="K17" s="6"/>
      <c r="L17" s="6"/>
      <c r="M17" s="6"/>
      <c r="N17" s="6"/>
      <c r="O17" s="6"/>
      <c r="P17" s="6"/>
      <c r="Q17" s="6"/>
      <c r="R17" s="140" t="s">
        <v>63</v>
      </c>
      <c r="S17" s="140"/>
      <c r="T17" s="5"/>
    </row>
    <row r="18" spans="5:20" ht="20.399999999999999">
      <c r="G18" s="5"/>
      <c r="H18" s="10"/>
      <c r="I18" s="5"/>
      <c r="J18" s="5"/>
      <c r="K18" s="6"/>
      <c r="L18" s="6"/>
      <c r="M18" s="6"/>
      <c r="N18" s="6"/>
      <c r="O18" s="6"/>
      <c r="P18" s="27"/>
      <c r="Q18" s="27"/>
      <c r="R18" s="5"/>
      <c r="S18" s="5"/>
      <c r="T18" s="5"/>
    </row>
    <row r="19" spans="5:20" ht="23.1" customHeight="1">
      <c r="E19" s="7"/>
      <c r="F19" s="8" t="str">
        <f>IFERROR(MATCH(I20,Prod_ddown,0)+4,"")</f>
        <v/>
      </c>
      <c r="G19" s="11"/>
      <c r="H19" s="35"/>
      <c r="I19" s="36"/>
      <c r="J19" s="146"/>
      <c r="K19" s="146"/>
      <c r="L19" s="146"/>
      <c r="M19" s="146"/>
      <c r="N19" s="146"/>
      <c r="O19" s="149"/>
      <c r="P19" s="149"/>
      <c r="Q19" s="149"/>
      <c r="R19" s="143"/>
      <c r="S19" s="143"/>
      <c r="T19" s="28"/>
    </row>
    <row r="20" spans="5:20" ht="23.1" customHeight="1">
      <c r="E20" s="7"/>
      <c r="F20" s="8"/>
      <c r="G20" s="11"/>
      <c r="H20" s="11"/>
      <c r="I20" s="28"/>
      <c r="J20" s="146"/>
      <c r="K20" s="146"/>
      <c r="L20" s="146"/>
      <c r="M20" s="146"/>
      <c r="N20" s="146"/>
      <c r="O20" s="149"/>
      <c r="P20" s="149"/>
      <c r="Q20" s="149"/>
      <c r="R20" s="143"/>
      <c r="S20" s="143"/>
      <c r="T20" s="28"/>
    </row>
    <row r="21" spans="5:20" ht="23.1" customHeight="1">
      <c r="E21" s="7"/>
      <c r="F21" s="8"/>
      <c r="G21" s="11"/>
      <c r="H21" s="11"/>
      <c r="I21" s="28"/>
      <c r="J21" s="146"/>
      <c r="K21" s="146"/>
      <c r="L21" s="146"/>
      <c r="M21" s="146"/>
      <c r="N21" s="146"/>
      <c r="O21" s="149"/>
      <c r="P21" s="149"/>
      <c r="Q21" s="149"/>
      <c r="R21" s="143"/>
      <c r="S21" s="143"/>
      <c r="T21" s="28"/>
    </row>
    <row r="22" spans="5:20" ht="23.1" customHeight="1">
      <c r="E22" s="7"/>
      <c r="F22" s="8"/>
      <c r="G22" s="11"/>
      <c r="H22" s="11"/>
      <c r="I22" s="28"/>
      <c r="J22" s="146"/>
      <c r="K22" s="146"/>
      <c r="L22" s="146"/>
      <c r="M22" s="146"/>
      <c r="N22" s="146"/>
      <c r="O22" s="149"/>
      <c r="P22" s="149"/>
      <c r="Q22" s="149"/>
      <c r="R22" s="143"/>
      <c r="S22" s="143"/>
      <c r="T22" s="28"/>
    </row>
    <row r="23" spans="5:20" ht="23.1" customHeight="1">
      <c r="F23" s="8" t="str">
        <f>IFERROR(MATCH(#REF!,Prod_ddown,0)+4,"")</f>
        <v/>
      </c>
      <c r="G23" s="11"/>
      <c r="H23" s="11"/>
      <c r="I23" s="28"/>
      <c r="J23" s="146"/>
      <c r="K23" s="146"/>
      <c r="L23" s="146"/>
      <c r="M23" s="146"/>
      <c r="N23" s="146"/>
      <c r="O23" s="149"/>
      <c r="P23" s="149"/>
      <c r="Q23" s="149"/>
      <c r="R23" s="143"/>
      <c r="S23" s="143"/>
      <c r="T23" s="28"/>
    </row>
    <row r="24" spans="5:20" ht="23.1" customHeight="1">
      <c r="G24" s="11"/>
      <c r="H24" s="11"/>
      <c r="I24" s="28"/>
      <c r="J24" s="146"/>
      <c r="K24" s="146"/>
      <c r="L24" s="146"/>
      <c r="M24" s="146"/>
      <c r="N24" s="146"/>
      <c r="O24" s="149"/>
      <c r="P24" s="149"/>
      <c r="Q24" s="149"/>
      <c r="R24" s="143"/>
      <c r="S24" s="143"/>
      <c r="T24" s="28"/>
    </row>
    <row r="25" spans="5:20" ht="23.1" customHeight="1">
      <c r="G25" s="11"/>
      <c r="H25" s="11"/>
      <c r="I25" s="28"/>
      <c r="J25" s="146"/>
      <c r="K25" s="146"/>
      <c r="L25" s="146"/>
      <c r="M25" s="146"/>
      <c r="N25" s="146"/>
      <c r="O25" s="149"/>
      <c r="P25" s="149"/>
      <c r="Q25" s="149"/>
      <c r="R25" s="143"/>
      <c r="S25" s="143"/>
      <c r="T25" s="28"/>
    </row>
    <row r="26" spans="5:20" ht="20.399999999999999">
      <c r="G26" s="5"/>
      <c r="H26" s="5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5:20" ht="19.5" customHeight="1">
      <c r="G27" s="5"/>
      <c r="H27" s="12" t="s">
        <v>34</v>
      </c>
      <c r="I27" s="28"/>
      <c r="J27" s="28"/>
      <c r="K27" s="28"/>
      <c r="L27" s="28"/>
      <c r="M27" s="28"/>
      <c r="N27" s="28"/>
      <c r="O27" s="28"/>
      <c r="P27" s="28"/>
      <c r="Q27" s="12" t="s">
        <v>36</v>
      </c>
      <c r="R27" s="144">
        <f>SUM(R19:S26)</f>
        <v>0</v>
      </c>
      <c r="S27" s="145"/>
      <c r="T27" s="28"/>
    </row>
    <row r="28" spans="5:20" ht="20.399999999999999">
      <c r="G28" s="13"/>
      <c r="H28" s="5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5:20" ht="20.399999999999999">
      <c r="G29" s="4"/>
      <c r="H29" s="14"/>
      <c r="I29" s="38"/>
      <c r="J29" s="38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5:20" ht="20.399999999999999">
      <c r="G30" s="4"/>
      <c r="H30" s="14"/>
      <c r="I30" s="38"/>
      <c r="J30" s="38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5:20" ht="19.8">
      <c r="G31" s="4"/>
      <c r="H31" s="15"/>
      <c r="I31" s="150"/>
      <c r="J31" s="150"/>
      <c r="K31" s="17"/>
      <c r="L31" s="17"/>
      <c r="M31" s="17"/>
      <c r="N31" s="17"/>
      <c r="O31" s="17"/>
      <c r="P31" s="30"/>
      <c r="Q31" s="17"/>
      <c r="R31" s="17"/>
      <c r="S31" s="17"/>
      <c r="T31" s="17"/>
    </row>
    <row r="32" spans="5:20" ht="19.8">
      <c r="G32" s="16"/>
      <c r="H32" s="15"/>
      <c r="I32" s="17"/>
      <c r="J32" s="17"/>
      <c r="K32" s="17"/>
      <c r="L32" s="17"/>
      <c r="M32" s="95" t="s">
        <v>128</v>
      </c>
      <c r="N32" s="17"/>
      <c r="O32" s="17"/>
      <c r="P32" s="17"/>
      <c r="Q32" s="95" t="s">
        <v>121</v>
      </c>
      <c r="R32" s="14"/>
      <c r="S32" s="14"/>
      <c r="T32" s="14"/>
    </row>
    <row r="33" spans="7:20" ht="19.8">
      <c r="G33" s="16"/>
      <c r="H33" s="15"/>
      <c r="I33" s="17"/>
      <c r="J33" s="17"/>
      <c r="K33" s="17"/>
      <c r="L33" s="17"/>
      <c r="M33" s="31" t="s">
        <v>129</v>
      </c>
      <c r="N33" s="31"/>
      <c r="O33" s="31"/>
      <c r="P33" s="31"/>
      <c r="Q33" s="31" t="s">
        <v>43</v>
      </c>
      <c r="R33" s="17"/>
      <c r="S33" s="17"/>
      <c r="T33" s="17"/>
    </row>
    <row r="34" spans="7:20" ht="19.8"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7:20" ht="19.2"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</sheetData>
  <mergeCells count="41">
    <mergeCell ref="R27:S27"/>
    <mergeCell ref="I31:J31"/>
    <mergeCell ref="J24:N24"/>
    <mergeCell ref="O24:Q24"/>
    <mergeCell ref="R24:S24"/>
    <mergeCell ref="J25:N25"/>
    <mergeCell ref="O25:Q25"/>
    <mergeCell ref="R25:S25"/>
    <mergeCell ref="J22:N22"/>
    <mergeCell ref="O22:Q22"/>
    <mergeCell ref="R22:S22"/>
    <mergeCell ref="J23:N23"/>
    <mergeCell ref="O23:Q23"/>
    <mergeCell ref="R23:S23"/>
    <mergeCell ref="J20:N20"/>
    <mergeCell ref="O20:Q20"/>
    <mergeCell ref="R20:S20"/>
    <mergeCell ref="J21:N21"/>
    <mergeCell ref="O21:Q21"/>
    <mergeCell ref="R21:S21"/>
    <mergeCell ref="H14:M14"/>
    <mergeCell ref="R17:S17"/>
    <mergeCell ref="J19:N19"/>
    <mergeCell ref="O19:Q19"/>
    <mergeCell ref="R19:S19"/>
    <mergeCell ref="H11:M11"/>
    <mergeCell ref="Q11:R11"/>
    <mergeCell ref="H12:M12"/>
    <mergeCell ref="Q12:R12"/>
    <mergeCell ref="H13:M13"/>
    <mergeCell ref="Q13:R13"/>
    <mergeCell ref="G5:T5"/>
    <mergeCell ref="M6:N6"/>
    <mergeCell ref="G8:T8"/>
    <mergeCell ref="H10:M10"/>
    <mergeCell ref="Q10:R10"/>
    <mergeCell ref="G1:T1"/>
    <mergeCell ref="G2:T2"/>
    <mergeCell ref="K3:M3"/>
    <mergeCell ref="N3:O3"/>
    <mergeCell ref="G4:T4"/>
  </mergeCells>
  <dataValidations count="3">
    <dataValidation allowBlank="1" showInputMessage="1" sqref="H10:M10" xr:uid="{00000000-0002-0000-0B00-000000000000}"/>
    <dataValidation type="list" allowBlank="1" showInputMessage="1" sqref="Q12:R12" xr:uid="{00000000-0002-0000-0B00-000001000000}">
      <formula1>"CASH,CHEQUE,IBG,E-WALLET,ONLINE,OTHERS"</formula1>
    </dataValidation>
    <dataValidation allowBlank="1" showInputMessage="1" showErrorMessage="1" sqref="I20:I23 J19:J23 I24:J25" xr:uid="{00000000-0002-0000-0B00-000002000000}"/>
  </dataValidations>
  <hyperlinks>
    <hyperlink ref="P6" r:id="rId1" xr:uid="{00000000-0004-0000-0B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E1:T35"/>
  <sheetViews>
    <sheetView zoomScale="60" zoomScaleNormal="60" workbookViewId="0">
      <selection activeCell="H11" sqref="H11:M11"/>
    </sheetView>
  </sheetViews>
  <sheetFormatPr defaultColWidth="9.109375" defaultRowHeight="14.4"/>
  <cols>
    <col min="1" max="4" width="9.109375" style="1"/>
    <col min="5" max="6" width="9.109375" style="1" hidden="1" customWidth="1"/>
    <col min="7" max="7" width="4.33203125" style="1" customWidth="1"/>
    <col min="8" max="8" width="9.109375" style="1"/>
    <col min="9" max="9" width="19.44140625" style="1" customWidth="1"/>
    <col min="10" max="10" width="15" style="1" customWidth="1"/>
    <col min="11" max="11" width="11.44140625" style="1" customWidth="1"/>
    <col min="12" max="12" width="6.6640625" style="1" customWidth="1"/>
    <col min="13" max="13" width="15.88671875" style="1" customWidth="1"/>
    <col min="14" max="14" width="12.44140625" style="1" customWidth="1"/>
    <col min="15" max="15" width="9.33203125" style="1" customWidth="1"/>
    <col min="16" max="16" width="8.33203125" style="1" customWidth="1"/>
    <col min="17" max="18" width="13.33203125" style="1" customWidth="1"/>
    <col min="19" max="19" width="16.33203125" style="1" customWidth="1"/>
    <col min="20" max="20" width="4.33203125" style="1" customWidth="1"/>
    <col min="21" max="16384" width="9.109375" style="1"/>
  </cols>
  <sheetData>
    <row r="1" spans="5:20" ht="53.4" customHeight="1">
      <c r="G1" s="99" t="s">
        <v>130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5:20" ht="29.4">
      <c r="G2" s="122" t="s">
        <v>47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5:20" ht="20.399999999999999" customHeight="1">
      <c r="G3" s="2"/>
      <c r="H3" s="2"/>
      <c r="I3" s="2"/>
      <c r="J3" s="2"/>
      <c r="K3" s="137" t="s">
        <v>92</v>
      </c>
      <c r="L3" s="137"/>
      <c r="M3" s="137"/>
      <c r="N3" s="138" t="s">
        <v>93</v>
      </c>
      <c r="O3" s="138"/>
      <c r="P3" s="2"/>
      <c r="Q3" s="2"/>
      <c r="R3" s="2"/>
      <c r="S3" s="2"/>
      <c r="T3" s="2"/>
    </row>
    <row r="4" spans="5:20" ht="24.6">
      <c r="G4" s="124" t="s">
        <v>50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</row>
    <row r="5" spans="5:20" ht="24.6">
      <c r="G5" s="124" t="s">
        <v>51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spans="5:20" ht="24.6">
      <c r="G6" s="3"/>
      <c r="H6" s="3"/>
      <c r="I6" s="21" t="s">
        <v>94</v>
      </c>
      <c r="J6" s="22" t="s">
        <v>95</v>
      </c>
      <c r="K6" s="23"/>
      <c r="L6" s="23" t="s">
        <v>20</v>
      </c>
      <c r="M6" s="139" t="s">
        <v>96</v>
      </c>
      <c r="N6" s="139"/>
      <c r="O6" s="23" t="s">
        <v>77</v>
      </c>
      <c r="P6" s="24" t="s">
        <v>97</v>
      </c>
      <c r="Q6" s="23"/>
      <c r="R6" s="3"/>
      <c r="S6" s="3"/>
      <c r="T6" s="3"/>
    </row>
    <row r="7" spans="5:20" ht="19.2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5:20" ht="30.75" customHeight="1">
      <c r="G8" s="147" t="s">
        <v>131</v>
      </c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</row>
    <row r="9" spans="5:20" ht="20.399999999999999">
      <c r="G9" s="5"/>
      <c r="H9" s="6"/>
      <c r="I9" s="5"/>
      <c r="J9" s="5"/>
      <c r="K9" s="5"/>
      <c r="L9" s="5"/>
      <c r="M9" s="5"/>
      <c r="N9" s="5"/>
      <c r="O9" s="6"/>
      <c r="P9" s="25"/>
      <c r="Q9" s="25"/>
      <c r="R9" s="32"/>
      <c r="S9" s="5"/>
      <c r="T9" s="5"/>
    </row>
    <row r="10" spans="5:20" ht="20.399999999999999">
      <c r="E10" s="7" t="s">
        <v>5</v>
      </c>
      <c r="F10" s="8" t="str">
        <f>IFERROR(MATCH(H11,Supp_ddown,0)+4,"")</f>
        <v/>
      </c>
      <c r="G10" s="5"/>
      <c r="H10" s="148" t="s">
        <v>132</v>
      </c>
      <c r="I10" s="148"/>
      <c r="J10" s="148"/>
      <c r="K10" s="148"/>
      <c r="L10" s="148"/>
      <c r="M10" s="148"/>
      <c r="N10" s="5"/>
      <c r="O10" s="26"/>
      <c r="P10" s="27" t="s">
        <v>7</v>
      </c>
      <c r="Q10" s="141"/>
      <c r="R10" s="102"/>
      <c r="S10" s="5"/>
      <c r="T10" s="5"/>
    </row>
    <row r="11" spans="5:20" ht="20.399999999999999">
      <c r="G11" s="5"/>
      <c r="H11" s="102"/>
      <c r="I11" s="102"/>
      <c r="J11" s="102"/>
      <c r="K11" s="102"/>
      <c r="L11" s="102"/>
      <c r="M11" s="102"/>
      <c r="N11" s="5"/>
      <c r="O11" s="26"/>
      <c r="P11" s="27" t="s">
        <v>10</v>
      </c>
      <c r="Q11" s="103"/>
      <c r="R11" s="103"/>
      <c r="S11" s="5"/>
      <c r="T11" s="5"/>
    </row>
    <row r="12" spans="5:20" ht="20.399999999999999">
      <c r="G12" s="5"/>
      <c r="H12" s="106"/>
      <c r="I12" s="106"/>
      <c r="J12" s="106"/>
      <c r="K12" s="106"/>
      <c r="L12" s="106"/>
      <c r="M12" s="106"/>
      <c r="N12" s="5"/>
      <c r="O12" s="26"/>
      <c r="P12" s="27" t="s">
        <v>126</v>
      </c>
      <c r="Q12" s="106"/>
      <c r="R12" s="106"/>
      <c r="S12" s="26"/>
      <c r="T12" s="5"/>
    </row>
    <row r="13" spans="5:20" ht="20.399999999999999">
      <c r="G13" s="5"/>
      <c r="H13" s="106"/>
      <c r="I13" s="106"/>
      <c r="J13" s="106"/>
      <c r="K13" s="106"/>
      <c r="L13" s="106"/>
      <c r="M13" s="106"/>
      <c r="N13" s="5"/>
      <c r="O13" s="26"/>
      <c r="P13" s="27" t="s">
        <v>127</v>
      </c>
      <c r="Q13" s="106"/>
      <c r="R13" s="106"/>
      <c r="S13" s="5"/>
      <c r="T13" s="5"/>
    </row>
    <row r="14" spans="5:20" ht="20.399999999999999">
      <c r="G14" s="5"/>
      <c r="H14" s="106"/>
      <c r="I14" s="106"/>
      <c r="J14" s="106"/>
      <c r="K14" s="106"/>
      <c r="L14" s="106"/>
      <c r="M14" s="106"/>
      <c r="N14" s="5"/>
      <c r="O14" s="26"/>
      <c r="P14" s="27" t="s">
        <v>16</v>
      </c>
      <c r="Q14" s="6" t="s">
        <v>17</v>
      </c>
      <c r="R14" s="27"/>
      <c r="S14" s="5"/>
      <c r="T14" s="5"/>
    </row>
    <row r="15" spans="5:20" ht="20.399999999999999">
      <c r="G15" s="5"/>
      <c r="H15" s="5"/>
      <c r="I15" s="5"/>
      <c r="J15" s="5"/>
      <c r="K15" s="6"/>
      <c r="L15" s="6"/>
      <c r="M15" s="6"/>
      <c r="N15" s="11"/>
      <c r="O15" s="5"/>
      <c r="P15" s="5"/>
      <c r="Q15" s="5"/>
      <c r="R15" s="5"/>
      <c r="S15" s="5"/>
      <c r="T15" s="5"/>
    </row>
    <row r="16" spans="5:20" ht="20.399999999999999">
      <c r="G16" s="5"/>
      <c r="H16" s="6"/>
      <c r="I16" s="5"/>
      <c r="J16" s="5"/>
      <c r="K16" s="6"/>
      <c r="L16" s="6"/>
      <c r="M16" s="6"/>
      <c r="N16" s="6"/>
      <c r="O16" s="5"/>
      <c r="P16" s="5"/>
      <c r="Q16" s="5"/>
      <c r="R16" s="5"/>
      <c r="S16" s="5"/>
      <c r="T16" s="5"/>
    </row>
    <row r="17" spans="5:20" ht="20.399999999999999">
      <c r="G17" s="5"/>
      <c r="H17" s="10"/>
      <c r="I17" s="6" t="s">
        <v>22</v>
      </c>
      <c r="J17" s="6"/>
      <c r="K17" s="6"/>
      <c r="L17" s="6"/>
      <c r="M17" s="6"/>
      <c r="N17" s="6"/>
      <c r="O17" s="6"/>
      <c r="P17" s="6"/>
      <c r="Q17" s="6"/>
      <c r="R17" s="140" t="s">
        <v>63</v>
      </c>
      <c r="S17" s="140"/>
      <c r="T17" s="5"/>
    </row>
    <row r="18" spans="5:20" ht="20.399999999999999">
      <c r="G18" s="5"/>
      <c r="H18" s="10"/>
      <c r="I18" s="5"/>
      <c r="J18" s="5"/>
      <c r="K18" s="6"/>
      <c r="L18" s="6"/>
      <c r="M18" s="6"/>
      <c r="N18" s="6"/>
      <c r="O18" s="6"/>
      <c r="P18" s="27"/>
      <c r="Q18" s="27"/>
      <c r="R18" s="5"/>
      <c r="S18" s="5"/>
      <c r="T18" s="5"/>
    </row>
    <row r="19" spans="5:20" ht="23.1" customHeight="1">
      <c r="E19" s="7"/>
      <c r="F19" s="8" t="str">
        <f>IFERROR(MATCH(I19,Prod_ddown,0)+4,"")</f>
        <v/>
      </c>
      <c r="G19" s="11"/>
      <c r="H19" s="11"/>
      <c r="I19" s="108"/>
      <c r="J19" s="108"/>
      <c r="K19" s="108"/>
      <c r="L19" s="108"/>
      <c r="M19" s="108"/>
      <c r="N19" s="108"/>
      <c r="O19" s="149"/>
      <c r="P19" s="149"/>
      <c r="Q19" s="149"/>
      <c r="R19" s="143"/>
      <c r="S19" s="143"/>
      <c r="T19" s="28"/>
    </row>
    <row r="20" spans="5:20" ht="23.1" customHeight="1">
      <c r="E20" s="7"/>
      <c r="F20" s="8"/>
      <c r="G20" s="11"/>
      <c r="H20" s="11"/>
      <c r="I20" s="108"/>
      <c r="J20" s="108"/>
      <c r="K20" s="108"/>
      <c r="L20" s="108"/>
      <c r="M20" s="108"/>
      <c r="N20" s="108"/>
      <c r="O20" s="149"/>
      <c r="P20" s="149"/>
      <c r="Q20" s="149"/>
      <c r="R20" s="143"/>
      <c r="S20" s="143"/>
      <c r="T20" s="28"/>
    </row>
    <row r="21" spans="5:20" ht="23.1" customHeight="1">
      <c r="E21" s="7"/>
      <c r="F21" s="8"/>
      <c r="G21" s="11"/>
      <c r="H21" s="11"/>
      <c r="I21" s="108"/>
      <c r="J21" s="108"/>
      <c r="K21" s="108"/>
      <c r="L21" s="108"/>
      <c r="M21" s="108"/>
      <c r="N21" s="108"/>
      <c r="O21" s="149"/>
      <c r="P21" s="149"/>
      <c r="Q21" s="149"/>
      <c r="R21" s="143"/>
      <c r="S21" s="143"/>
      <c r="T21" s="28"/>
    </row>
    <row r="22" spans="5:20" ht="23.1" customHeight="1">
      <c r="E22" s="7"/>
      <c r="F22" s="8"/>
      <c r="G22" s="11"/>
      <c r="H22" s="11"/>
      <c r="I22" s="108"/>
      <c r="J22" s="108"/>
      <c r="K22" s="108"/>
      <c r="L22" s="108"/>
      <c r="M22" s="108"/>
      <c r="N22" s="108"/>
      <c r="O22" s="149"/>
      <c r="P22" s="149"/>
      <c r="Q22" s="149"/>
      <c r="R22" s="143"/>
      <c r="S22" s="143"/>
      <c r="T22" s="28"/>
    </row>
    <row r="23" spans="5:20" ht="23.1" customHeight="1">
      <c r="F23" s="8" t="str">
        <f>IFERROR(MATCH(I23,Prod_ddown,0)+4,"")</f>
        <v/>
      </c>
      <c r="G23" s="11"/>
      <c r="H23" s="11"/>
      <c r="I23" s="108"/>
      <c r="J23" s="108"/>
      <c r="K23" s="108"/>
      <c r="L23" s="108"/>
      <c r="M23" s="108"/>
      <c r="N23" s="108"/>
      <c r="O23" s="149"/>
      <c r="P23" s="149"/>
      <c r="Q23" s="149"/>
      <c r="R23" s="143"/>
      <c r="S23" s="143"/>
      <c r="T23" s="28"/>
    </row>
    <row r="24" spans="5:20" ht="23.1" customHeight="1">
      <c r="G24" s="11"/>
      <c r="H24" s="11"/>
      <c r="I24" s="108"/>
      <c r="J24" s="108"/>
      <c r="K24" s="108"/>
      <c r="L24" s="108"/>
      <c r="M24" s="108"/>
      <c r="N24" s="108"/>
      <c r="O24" s="149"/>
      <c r="P24" s="149"/>
      <c r="Q24" s="149"/>
      <c r="R24" s="143"/>
      <c r="S24" s="143"/>
      <c r="T24" s="28"/>
    </row>
    <row r="25" spans="5:20" ht="23.1" customHeight="1">
      <c r="G25" s="11"/>
      <c r="H25" s="11"/>
      <c r="I25" s="108"/>
      <c r="J25" s="108"/>
      <c r="K25" s="108"/>
      <c r="L25" s="108"/>
      <c r="M25" s="108"/>
      <c r="N25" s="108"/>
      <c r="O25" s="149"/>
      <c r="P25" s="149"/>
      <c r="Q25" s="149"/>
      <c r="R25" s="143"/>
      <c r="S25" s="143"/>
      <c r="T25" s="28"/>
    </row>
    <row r="26" spans="5:20" ht="20.399999999999999">
      <c r="G26" s="5"/>
      <c r="H26" s="5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5:20" ht="19.5" customHeight="1">
      <c r="G27" s="4"/>
      <c r="H27" s="12" t="s">
        <v>34</v>
      </c>
      <c r="I27" s="28"/>
      <c r="J27" s="28"/>
      <c r="K27" s="29"/>
      <c r="L27" s="29"/>
      <c r="M27" s="29"/>
      <c r="N27" s="29"/>
      <c r="O27" s="29"/>
      <c r="P27" s="29"/>
      <c r="Q27" s="12" t="s">
        <v>36</v>
      </c>
      <c r="R27" s="144">
        <f>SUM(R19:S26)</f>
        <v>0</v>
      </c>
      <c r="S27" s="145"/>
      <c r="T27" s="28"/>
    </row>
    <row r="28" spans="5:20" ht="20.399999999999999">
      <c r="G28" s="13"/>
      <c r="H28" s="5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5:20" ht="19.8">
      <c r="G29" s="4"/>
      <c r="H29" s="14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5:20" ht="19.8">
      <c r="G30" s="4"/>
      <c r="H30" s="14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5:20" ht="19.8">
      <c r="G31" s="4"/>
      <c r="H31" s="15"/>
      <c r="I31" s="17"/>
      <c r="J31" s="17"/>
      <c r="K31" s="17"/>
      <c r="L31" s="17"/>
      <c r="M31" s="17"/>
      <c r="N31" s="17"/>
      <c r="O31" s="17"/>
      <c r="P31" s="30"/>
      <c r="Q31" s="17"/>
      <c r="R31" s="17"/>
      <c r="S31" s="17"/>
      <c r="T31" s="17"/>
    </row>
    <row r="32" spans="5:20" ht="19.8">
      <c r="G32" s="16"/>
      <c r="H32" s="15"/>
      <c r="I32" s="17"/>
      <c r="J32" s="17"/>
      <c r="K32" s="17"/>
      <c r="L32" s="17"/>
      <c r="M32" s="95" t="s">
        <v>133</v>
      </c>
      <c r="N32" s="17"/>
      <c r="O32" s="17"/>
      <c r="P32" s="95" t="s">
        <v>121</v>
      </c>
      <c r="Q32" s="17"/>
      <c r="R32" s="14"/>
      <c r="S32" s="14"/>
      <c r="T32" s="14"/>
    </row>
    <row r="33" spans="7:20" ht="19.8">
      <c r="G33" s="16"/>
      <c r="H33" s="15"/>
      <c r="I33" s="17"/>
      <c r="J33" s="17"/>
      <c r="K33" s="17"/>
      <c r="L33" s="17"/>
      <c r="M33" s="31" t="s">
        <v>134</v>
      </c>
      <c r="N33" s="31"/>
      <c r="O33" s="31"/>
      <c r="P33" s="31" t="s">
        <v>135</v>
      </c>
      <c r="Q33" s="31"/>
      <c r="R33" s="17"/>
      <c r="S33" s="17"/>
      <c r="T33" s="17"/>
    </row>
    <row r="34" spans="7:20" ht="19.8"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7:20" ht="19.2"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</sheetData>
  <mergeCells count="40">
    <mergeCell ref="R27:S27"/>
    <mergeCell ref="I24:N24"/>
    <mergeCell ref="O24:Q24"/>
    <mergeCell ref="R24:S24"/>
    <mergeCell ref="I25:N25"/>
    <mergeCell ref="O25:Q25"/>
    <mergeCell ref="R25:S25"/>
    <mergeCell ref="I22:N22"/>
    <mergeCell ref="O22:Q22"/>
    <mergeCell ref="R22:S22"/>
    <mergeCell ref="I23:N23"/>
    <mergeCell ref="O23:Q23"/>
    <mergeCell ref="R23:S23"/>
    <mergeCell ref="I20:N20"/>
    <mergeCell ref="O20:Q20"/>
    <mergeCell ref="R20:S20"/>
    <mergeCell ref="I21:N21"/>
    <mergeCell ref="O21:Q21"/>
    <mergeCell ref="R21:S21"/>
    <mergeCell ref="H14:M14"/>
    <mergeCell ref="R17:S17"/>
    <mergeCell ref="I19:N19"/>
    <mergeCell ref="O19:Q19"/>
    <mergeCell ref="R19:S19"/>
    <mergeCell ref="H11:M11"/>
    <mergeCell ref="Q11:R11"/>
    <mergeCell ref="H12:M12"/>
    <mergeCell ref="Q12:R12"/>
    <mergeCell ref="H13:M13"/>
    <mergeCell ref="Q13:R13"/>
    <mergeCell ref="G5:T5"/>
    <mergeCell ref="M6:N6"/>
    <mergeCell ref="G8:T8"/>
    <mergeCell ref="H10:M10"/>
    <mergeCell ref="Q10:R10"/>
    <mergeCell ref="G1:T1"/>
    <mergeCell ref="G2:T2"/>
    <mergeCell ref="K3:M3"/>
    <mergeCell ref="N3:O3"/>
    <mergeCell ref="G4:T4"/>
  </mergeCells>
  <dataValidations count="3">
    <dataValidation allowBlank="1" showInputMessage="1" sqref="H10:M10" xr:uid="{00000000-0002-0000-0C00-000000000000}"/>
    <dataValidation type="list" allowBlank="1" showInputMessage="1" sqref="Q12" xr:uid="{00000000-0002-0000-0C00-000001000000}">
      <formula1>"CASH,CHEQUE,IBG,E-WALLET,OTHERS"</formula1>
    </dataValidation>
    <dataValidation allowBlank="1" showInputMessage="1" showErrorMessage="1" sqref="I19:J25" xr:uid="{00000000-0002-0000-0C00-000002000000}"/>
  </dataValidations>
  <hyperlinks>
    <hyperlink ref="P6" r:id="rId1" xr:uid="{00000000-0004-0000-0C00-000000000000}"/>
  </hyperlinks>
  <pageMargins left="0.44" right="0" top="0.31" bottom="0" header="0.31496062992126" footer="0.31496062992126"/>
  <pageSetup paperSize="9" scale="62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Quotation</vt:lpstr>
      <vt:lpstr>Quotation_Service</vt:lpstr>
      <vt:lpstr>INV 1</vt:lpstr>
      <vt:lpstr>INV 2</vt:lpstr>
      <vt:lpstr>Invoice</vt:lpstr>
      <vt:lpstr>Invoice_Service</vt:lpstr>
      <vt:lpstr>DO</vt:lpstr>
      <vt:lpstr>Cash Bill</vt:lpstr>
      <vt:lpstr>Purchase Order</vt:lpstr>
      <vt:lpstr>Credit Note</vt:lpstr>
      <vt:lpstr>Debit Note</vt:lpstr>
      <vt:lpstr>Receipt</vt:lpstr>
      <vt:lpstr>Payment Voucher</vt:lpstr>
      <vt:lpstr>'Cash Bill'!Print_Area</vt:lpstr>
      <vt:lpstr>'Credit Note'!Print_Area</vt:lpstr>
      <vt:lpstr>'Debit Note'!Print_Area</vt:lpstr>
      <vt:lpstr>DO!Print_Area</vt:lpstr>
      <vt:lpstr>'INV 1'!Print_Area</vt:lpstr>
      <vt:lpstr>'INV 2'!Print_Area</vt:lpstr>
      <vt:lpstr>Invoice!Print_Area</vt:lpstr>
      <vt:lpstr>Invoice_Service!Print_Area</vt:lpstr>
      <vt:lpstr>'Payment Voucher'!Print_Area</vt:lpstr>
      <vt:lpstr>'Purchase Order'!Print_Area</vt:lpstr>
      <vt:lpstr>Quotation!Print_Area</vt:lpstr>
      <vt:lpstr>Quotation_Service!Print_Area</vt:lpstr>
      <vt:lpstr>Receipt!Print_Area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Ytlau</dc:creator>
  <cp:lastModifiedBy>azanmtaq</cp:lastModifiedBy>
  <cp:lastPrinted>2026-01-14T12:14:12Z</cp:lastPrinted>
  <dcterms:created xsi:type="dcterms:W3CDTF">2022-10-20T03:13:00Z</dcterms:created>
  <dcterms:modified xsi:type="dcterms:W3CDTF">2026-01-14T12:21:15Z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4EE1315BD0DC49D7B85683D6698DECC7_13</vt:lpwstr>
  </property>
  <property fmtid="{D5CDD505-2E9C-101B-9397-08002B2CF9AE}" pid="3" name="KSOProductBuildVer">
    <vt:lpwstr>1033-12.2.0.17562</vt:lpwstr>
  </property>
</Properties>
</file>